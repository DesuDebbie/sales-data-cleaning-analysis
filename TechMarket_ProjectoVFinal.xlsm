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openxmlformats.org/officedocument/2006/relationships/metadata/core-properties" Target="docProps/core0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1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Inês\Downloads\"/>
    </mc:Choice>
  </mc:AlternateContent>
  <xr:revisionPtr revIDLastSave="0" documentId="13_ncr:1_{87355C0E-FA0C-4968-BF36-74EB565D483B}" xr6:coauthVersionLast="47" xr6:coauthVersionMax="47" xr10:uidLastSave="{00000000-0000-0000-0000-000000000000}"/>
  <bookViews>
    <workbookView xWindow="-28920" yWindow="-120" windowWidth="29040" windowHeight="15720" tabRatio="603" firstSheet="5" activeTab="5" xr2:uid="{00000000-000D-0000-FFFF-FFFF00000000}"/>
  </bookViews>
  <sheets>
    <sheet name="Produtos" sheetId="1" r:id="rId1"/>
    <sheet name="Clientes" sheetId="2" r:id="rId2"/>
    <sheet name="Vendas" sheetId="3" r:id="rId3"/>
    <sheet name="Dados Tratados" sheetId="4" r:id="rId4"/>
    <sheet name="02_Analises" sheetId="5" r:id="rId5"/>
    <sheet name="03_DASHBOARD" sheetId="6" r:id="rId6"/>
    <sheet name="04_Recomendacoes" sheetId="7" r:id="rId7"/>
    <sheet name="05_Mapa_Perguntas" sheetId="8" r:id="rId8"/>
    <sheet name="Listas_Dashboard" sheetId="9" state="hidden" r:id="rId9"/>
    <sheet name="Aux_Dashboard" sheetId="10" state="hidden" r:id="rId10"/>
  </sheets>
  <definedNames>
    <definedName name="_xlnm.Print_Area" localSheetId="5">'03_DASHBOARD'!$B$1:$Q$47</definedName>
    <definedName name="CanalLista">Listas_Dashboard!$F$2:$F$9</definedName>
    <definedName name="CategoriaLista">Listas_Dashboard!$H$2:$H$20</definedName>
    <definedName name="ExternalData_1" localSheetId="1" hidden="1">Vendas!$A$1:$L$151</definedName>
    <definedName name="ExternalData_2" localSheetId="0" hidden="1">Clientes!$A$1:$J$151</definedName>
    <definedName name="MesLista">Listas_Dashboard!$A$2:$A$13</definedName>
    <definedName name="NativeTimeline_Data_Venda">#N/A</definedName>
    <definedName name="PeriodoLista">Listas_Dashboard!$D$2:$D$4</definedName>
    <definedName name="Slicer_Categoria">#N/A</definedName>
    <definedName name="Slicer_Cliente">#N/A</definedName>
    <definedName name="VendedorLista">Listas_Dashboard!$J$2:$J$10</definedName>
  </definedNames>
  <calcPr calcId="191028" iterateDelta="1E-4"/>
  <pivotCaches>
    <pivotCache cacheId="72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T9" i="5" l="1"/>
  <c r="AI7" i="5"/>
  <c r="AI8" i="5" s="1"/>
  <c r="T7" i="5"/>
  <c r="T8" i="5" s="1"/>
  <c r="AI6" i="5"/>
  <c r="T6" i="5"/>
  <c r="S151" i="4"/>
  <c r="T151" i="4" s="1"/>
  <c r="U151" i="4" s="1"/>
  <c r="R151" i="4"/>
  <c r="S150" i="4"/>
  <c r="T150" i="4" s="1"/>
  <c r="U150" i="4" s="1"/>
  <c r="R150" i="4"/>
  <c r="S149" i="4"/>
  <c r="T149" i="4" s="1"/>
  <c r="U149" i="4" s="1"/>
  <c r="R149" i="4"/>
  <c r="S148" i="4"/>
  <c r="T148" i="4" s="1"/>
  <c r="U148" i="4" s="1"/>
  <c r="R148" i="4"/>
  <c r="S147" i="4"/>
  <c r="T147" i="4" s="1"/>
  <c r="U147" i="4" s="1"/>
  <c r="R147" i="4"/>
  <c r="S146" i="4"/>
  <c r="T146" i="4" s="1"/>
  <c r="U146" i="4" s="1"/>
  <c r="R146" i="4"/>
  <c r="T145" i="4"/>
  <c r="U145" i="4" s="1"/>
  <c r="S145" i="4"/>
  <c r="R145" i="4"/>
  <c r="S144" i="4"/>
  <c r="T144" i="4" s="1"/>
  <c r="U144" i="4" s="1"/>
  <c r="R144" i="4"/>
  <c r="T143" i="4"/>
  <c r="U143" i="4" s="1"/>
  <c r="S143" i="4"/>
  <c r="R143" i="4"/>
  <c r="T142" i="4"/>
  <c r="U142" i="4" s="1"/>
  <c r="S142" i="4"/>
  <c r="R142" i="4"/>
  <c r="S141" i="4"/>
  <c r="T141" i="4" s="1"/>
  <c r="U141" i="4" s="1"/>
  <c r="R141" i="4"/>
  <c r="S140" i="4"/>
  <c r="T140" i="4" s="1"/>
  <c r="U140" i="4" s="1"/>
  <c r="R140" i="4"/>
  <c r="T139" i="4"/>
  <c r="U139" i="4" s="1"/>
  <c r="S139" i="4"/>
  <c r="R139" i="4"/>
  <c r="S138" i="4"/>
  <c r="T138" i="4" s="1"/>
  <c r="U138" i="4" s="1"/>
  <c r="R138" i="4"/>
  <c r="S137" i="4"/>
  <c r="T137" i="4" s="1"/>
  <c r="U137" i="4" s="1"/>
  <c r="R137" i="4"/>
  <c r="T136" i="4"/>
  <c r="U136" i="4" s="1"/>
  <c r="S136" i="4"/>
  <c r="R136" i="4"/>
  <c r="T135" i="4"/>
  <c r="U135" i="4" s="1"/>
  <c r="S135" i="4"/>
  <c r="R135" i="4"/>
  <c r="S134" i="4"/>
  <c r="T134" i="4" s="1"/>
  <c r="U134" i="4" s="1"/>
  <c r="R134" i="4"/>
  <c r="S133" i="4"/>
  <c r="T133" i="4" s="1"/>
  <c r="U133" i="4" s="1"/>
  <c r="R133" i="4"/>
  <c r="S132" i="4"/>
  <c r="T132" i="4" s="1"/>
  <c r="U132" i="4" s="1"/>
  <c r="R132" i="4"/>
  <c r="S131" i="4"/>
  <c r="T131" i="4" s="1"/>
  <c r="U131" i="4" s="1"/>
  <c r="R131" i="4"/>
  <c r="S130" i="4"/>
  <c r="T130" i="4" s="1"/>
  <c r="U130" i="4" s="1"/>
  <c r="R130" i="4"/>
  <c r="T129" i="4"/>
  <c r="U129" i="4" s="1"/>
  <c r="S129" i="4"/>
  <c r="R129" i="4"/>
  <c r="S128" i="4"/>
  <c r="T128" i="4" s="1"/>
  <c r="U128" i="4" s="1"/>
  <c r="R128" i="4"/>
  <c r="T127" i="4"/>
  <c r="U127" i="4" s="1"/>
  <c r="S127" i="4"/>
  <c r="R127" i="4"/>
  <c r="U126" i="4"/>
  <c r="S126" i="4"/>
  <c r="R126" i="4"/>
  <c r="S125" i="4"/>
  <c r="T125" i="4" s="1"/>
  <c r="U125" i="4" s="1"/>
  <c r="R125" i="4"/>
  <c r="S124" i="4"/>
  <c r="T124" i="4" s="1"/>
  <c r="U124" i="4" s="1"/>
  <c r="R124" i="4"/>
  <c r="T123" i="4"/>
  <c r="U123" i="4" s="1"/>
  <c r="S123" i="4"/>
  <c r="R123" i="4"/>
  <c r="S122" i="4"/>
  <c r="T122" i="4" s="1"/>
  <c r="U122" i="4" s="1"/>
  <c r="R122" i="4"/>
  <c r="S121" i="4"/>
  <c r="T121" i="4" s="1"/>
  <c r="U121" i="4" s="1"/>
  <c r="R121" i="4"/>
  <c r="T120" i="4"/>
  <c r="U120" i="4" s="1"/>
  <c r="S120" i="4"/>
  <c r="R120" i="4"/>
  <c r="T119" i="4"/>
  <c r="U119" i="4" s="1"/>
  <c r="S119" i="4"/>
  <c r="R119" i="4"/>
  <c r="S118" i="4"/>
  <c r="T118" i="4" s="1"/>
  <c r="U118" i="4" s="1"/>
  <c r="R118" i="4"/>
  <c r="T117" i="4"/>
  <c r="U117" i="4" s="1"/>
  <c r="S117" i="4"/>
  <c r="R117" i="4"/>
  <c r="S116" i="4"/>
  <c r="T116" i="4" s="1"/>
  <c r="U116" i="4" s="1"/>
  <c r="R116" i="4"/>
  <c r="S115" i="4"/>
  <c r="T115" i="4" s="1"/>
  <c r="U115" i="4" s="1"/>
  <c r="R115" i="4"/>
  <c r="S114" i="4"/>
  <c r="T114" i="4" s="1"/>
  <c r="U114" i="4" s="1"/>
  <c r="R114" i="4"/>
  <c r="T113" i="4"/>
  <c r="U113" i="4" s="1"/>
  <c r="S113" i="4"/>
  <c r="R113" i="4"/>
  <c r="S112" i="4"/>
  <c r="T112" i="4" s="1"/>
  <c r="U112" i="4" s="1"/>
  <c r="R112" i="4"/>
  <c r="T111" i="4"/>
  <c r="U111" i="4" s="1"/>
  <c r="S111" i="4"/>
  <c r="R111" i="4"/>
  <c r="T110" i="4"/>
  <c r="U110" i="4" s="1"/>
  <c r="S110" i="4"/>
  <c r="R110" i="4"/>
  <c r="S109" i="4"/>
  <c r="T109" i="4" s="1"/>
  <c r="U109" i="4" s="1"/>
  <c r="R109" i="4"/>
  <c r="S108" i="4"/>
  <c r="T108" i="4" s="1"/>
  <c r="U108" i="4" s="1"/>
  <c r="R108" i="4"/>
  <c r="T107" i="4"/>
  <c r="U107" i="4" s="1"/>
  <c r="S107" i="4"/>
  <c r="R107" i="4"/>
  <c r="S106" i="4"/>
  <c r="T106" i="4" s="1"/>
  <c r="U106" i="4" s="1"/>
  <c r="R106" i="4"/>
  <c r="S105" i="4"/>
  <c r="T105" i="4" s="1"/>
  <c r="U105" i="4" s="1"/>
  <c r="R105" i="4"/>
  <c r="T104" i="4"/>
  <c r="U104" i="4" s="1"/>
  <c r="S104" i="4"/>
  <c r="R104" i="4"/>
  <c r="T103" i="4"/>
  <c r="U103" i="4" s="1"/>
  <c r="S103" i="4"/>
  <c r="R103" i="4"/>
  <c r="S102" i="4"/>
  <c r="T102" i="4" s="1"/>
  <c r="U102" i="4" s="1"/>
  <c r="R102" i="4"/>
  <c r="S101" i="4"/>
  <c r="T101" i="4" s="1"/>
  <c r="U101" i="4" s="1"/>
  <c r="R101" i="4"/>
  <c r="S100" i="4"/>
  <c r="T100" i="4" s="1"/>
  <c r="U100" i="4" s="1"/>
  <c r="R100" i="4"/>
  <c r="S99" i="4"/>
  <c r="T99" i="4" s="1"/>
  <c r="U99" i="4" s="1"/>
  <c r="R99" i="4"/>
  <c r="S98" i="4"/>
  <c r="T98" i="4" s="1"/>
  <c r="U98" i="4" s="1"/>
  <c r="R98" i="4"/>
  <c r="T97" i="4"/>
  <c r="U97" i="4" s="1"/>
  <c r="S97" i="4"/>
  <c r="R97" i="4"/>
  <c r="S96" i="4"/>
  <c r="T96" i="4" s="1"/>
  <c r="U96" i="4" s="1"/>
  <c r="R96" i="4"/>
  <c r="T95" i="4"/>
  <c r="U95" i="4" s="1"/>
  <c r="S95" i="4"/>
  <c r="R95" i="4"/>
  <c r="T94" i="4"/>
  <c r="U94" i="4" s="1"/>
  <c r="S94" i="4"/>
  <c r="R94" i="4"/>
  <c r="S93" i="4"/>
  <c r="T93" i="4" s="1"/>
  <c r="U93" i="4" s="1"/>
  <c r="R93" i="4"/>
  <c r="S92" i="4"/>
  <c r="T92" i="4" s="1"/>
  <c r="U92" i="4" s="1"/>
  <c r="R92" i="4"/>
  <c r="T91" i="4"/>
  <c r="U91" i="4" s="1"/>
  <c r="S91" i="4"/>
  <c r="R91" i="4"/>
  <c r="S90" i="4"/>
  <c r="T90" i="4" s="1"/>
  <c r="U90" i="4" s="1"/>
  <c r="R90" i="4"/>
  <c r="T89" i="4"/>
  <c r="U89" i="4" s="1"/>
  <c r="S89" i="4"/>
  <c r="R89" i="4"/>
  <c r="S88" i="4"/>
  <c r="T88" i="4" s="1"/>
  <c r="U88" i="4" s="1"/>
  <c r="R88" i="4"/>
  <c r="S87" i="4"/>
  <c r="T87" i="4" s="1"/>
  <c r="U87" i="4" s="1"/>
  <c r="R87" i="4"/>
  <c r="T86" i="4"/>
  <c r="U86" i="4" s="1"/>
  <c r="S86" i="4"/>
  <c r="R86" i="4"/>
  <c r="S85" i="4"/>
  <c r="T85" i="4" s="1"/>
  <c r="U85" i="4" s="1"/>
  <c r="R85" i="4"/>
  <c r="S84" i="4"/>
  <c r="U84" i="4" s="1"/>
  <c r="R84" i="4"/>
  <c r="T83" i="4"/>
  <c r="U83" i="4" s="1"/>
  <c r="S83" i="4"/>
  <c r="R83" i="4"/>
  <c r="T82" i="4"/>
  <c r="U82" i="4" s="1"/>
  <c r="S82" i="4"/>
  <c r="R82" i="4"/>
  <c r="S81" i="4"/>
  <c r="T81" i="4" s="1"/>
  <c r="U81" i="4" s="1"/>
  <c r="R81" i="4"/>
  <c r="S80" i="4"/>
  <c r="T80" i="4" s="1"/>
  <c r="U80" i="4" s="1"/>
  <c r="R80" i="4"/>
  <c r="S79" i="4"/>
  <c r="T79" i="4" s="1"/>
  <c r="U79" i="4" s="1"/>
  <c r="R79" i="4"/>
  <c r="S78" i="4"/>
  <c r="T78" i="4" s="1"/>
  <c r="U78" i="4" s="1"/>
  <c r="R78" i="4"/>
  <c r="S77" i="4"/>
  <c r="T77" i="4" s="1"/>
  <c r="U77" i="4" s="1"/>
  <c r="R77" i="4"/>
  <c r="T76" i="4"/>
  <c r="U76" i="4" s="1"/>
  <c r="S76" i="4"/>
  <c r="R76" i="4"/>
  <c r="S75" i="4"/>
  <c r="T75" i="4" s="1"/>
  <c r="U75" i="4" s="1"/>
  <c r="R75" i="4"/>
  <c r="T74" i="4"/>
  <c r="U74" i="4" s="1"/>
  <c r="S74" i="4"/>
  <c r="R74" i="4"/>
  <c r="T73" i="4"/>
  <c r="U73" i="4" s="1"/>
  <c r="S73" i="4"/>
  <c r="R73" i="4"/>
  <c r="S72" i="4"/>
  <c r="T72" i="4" s="1"/>
  <c r="U72" i="4" s="1"/>
  <c r="R72" i="4"/>
  <c r="S71" i="4"/>
  <c r="T71" i="4" s="1"/>
  <c r="U71" i="4" s="1"/>
  <c r="R71" i="4"/>
  <c r="T70" i="4"/>
  <c r="U70" i="4" s="1"/>
  <c r="S70" i="4"/>
  <c r="R70" i="4"/>
  <c r="S69" i="4"/>
  <c r="T69" i="4" s="1"/>
  <c r="U69" i="4" s="1"/>
  <c r="R69" i="4"/>
  <c r="S68" i="4"/>
  <c r="T68" i="4" s="1"/>
  <c r="U68" i="4" s="1"/>
  <c r="R68" i="4"/>
  <c r="T67" i="4"/>
  <c r="U67" i="4" s="1"/>
  <c r="S67" i="4"/>
  <c r="R67" i="4"/>
  <c r="T66" i="4"/>
  <c r="U66" i="4" s="1"/>
  <c r="S66" i="4"/>
  <c r="R66" i="4"/>
  <c r="S65" i="4"/>
  <c r="T65" i="4" s="1"/>
  <c r="U65" i="4" s="1"/>
  <c r="R65" i="4"/>
  <c r="S64" i="4"/>
  <c r="T64" i="4" s="1"/>
  <c r="U64" i="4" s="1"/>
  <c r="R64" i="4"/>
  <c r="S63" i="4"/>
  <c r="T63" i="4" s="1"/>
  <c r="U63" i="4" s="1"/>
  <c r="R63" i="4"/>
  <c r="S62" i="4"/>
  <c r="T62" i="4" s="1"/>
  <c r="U62" i="4" s="1"/>
  <c r="R62" i="4"/>
  <c r="S61" i="4"/>
  <c r="T61" i="4" s="1"/>
  <c r="U61" i="4" s="1"/>
  <c r="R61" i="4"/>
  <c r="T60" i="4"/>
  <c r="U60" i="4" s="1"/>
  <c r="S60" i="4"/>
  <c r="R60" i="4"/>
  <c r="S59" i="4"/>
  <c r="T59" i="4" s="1"/>
  <c r="U59" i="4" s="1"/>
  <c r="R59" i="4"/>
  <c r="T58" i="4"/>
  <c r="U58" i="4" s="1"/>
  <c r="S58" i="4"/>
  <c r="R58" i="4"/>
  <c r="T57" i="4"/>
  <c r="U57" i="4" s="1"/>
  <c r="S57" i="4"/>
  <c r="R57" i="4"/>
  <c r="S56" i="4"/>
  <c r="T56" i="4" s="1"/>
  <c r="U56" i="4" s="1"/>
  <c r="R56" i="4"/>
  <c r="S55" i="4"/>
  <c r="T55" i="4" s="1"/>
  <c r="U55" i="4" s="1"/>
  <c r="R55" i="4"/>
  <c r="T54" i="4"/>
  <c r="U54" i="4" s="1"/>
  <c r="S54" i="4"/>
  <c r="R54" i="4"/>
  <c r="S53" i="4"/>
  <c r="T53" i="4" s="1"/>
  <c r="U53" i="4" s="1"/>
  <c r="R53" i="4"/>
  <c r="S52" i="4"/>
  <c r="T52" i="4" s="1"/>
  <c r="U52" i="4" s="1"/>
  <c r="R52" i="4"/>
  <c r="T51" i="4"/>
  <c r="U51" i="4" s="1"/>
  <c r="S51" i="4"/>
  <c r="R51" i="4"/>
  <c r="T50" i="4"/>
  <c r="U50" i="4" s="1"/>
  <c r="S50" i="4"/>
  <c r="R50" i="4"/>
  <c r="S49" i="4"/>
  <c r="T49" i="4" s="1"/>
  <c r="U49" i="4" s="1"/>
  <c r="R49" i="4"/>
  <c r="S48" i="4"/>
  <c r="T48" i="4" s="1"/>
  <c r="U48" i="4" s="1"/>
  <c r="R48" i="4"/>
  <c r="S47" i="4"/>
  <c r="T47" i="4" s="1"/>
  <c r="U47" i="4" s="1"/>
  <c r="R47" i="4"/>
  <c r="S46" i="4"/>
  <c r="T46" i="4" s="1"/>
  <c r="U46" i="4" s="1"/>
  <c r="R46" i="4"/>
  <c r="S45" i="4"/>
  <c r="T45" i="4" s="1"/>
  <c r="U45" i="4" s="1"/>
  <c r="R45" i="4"/>
  <c r="T44" i="4"/>
  <c r="U44" i="4" s="1"/>
  <c r="S44" i="4"/>
  <c r="R44" i="4"/>
  <c r="S43" i="4"/>
  <c r="T43" i="4" s="1"/>
  <c r="U43" i="4" s="1"/>
  <c r="R43" i="4"/>
  <c r="T42" i="4"/>
  <c r="U42" i="4" s="1"/>
  <c r="S42" i="4"/>
  <c r="R42" i="4"/>
  <c r="T41" i="4"/>
  <c r="S41" i="4"/>
  <c r="R41" i="4"/>
  <c r="S40" i="4"/>
  <c r="T40" i="4" s="1"/>
  <c r="R40" i="4"/>
  <c r="S39" i="4"/>
  <c r="T39" i="4" s="1"/>
  <c r="R39" i="4"/>
  <c r="T38" i="4"/>
  <c r="U38" i="4" s="1"/>
  <c r="S38" i="4"/>
  <c r="R38" i="4"/>
  <c r="S37" i="4"/>
  <c r="T37" i="4" s="1"/>
  <c r="R37" i="4"/>
  <c r="S36" i="4"/>
  <c r="R36" i="4"/>
  <c r="T35" i="4"/>
  <c r="S35" i="4"/>
  <c r="R35" i="4"/>
  <c r="T34" i="4"/>
  <c r="S34" i="4"/>
  <c r="R34" i="4"/>
  <c r="S33" i="4"/>
  <c r="R33" i="4"/>
  <c r="S32" i="4"/>
  <c r="U32" i="4" s="1"/>
  <c r="R32" i="4"/>
  <c r="S31" i="4"/>
  <c r="T31" i="4" s="1"/>
  <c r="U31" i="4" s="1"/>
  <c r="R31" i="4"/>
  <c r="S30" i="4"/>
  <c r="T30" i="4" s="1"/>
  <c r="U30" i="4" s="1"/>
  <c r="R30" i="4"/>
  <c r="S29" i="4"/>
  <c r="T29" i="4" s="1"/>
  <c r="U29" i="4" s="1"/>
  <c r="R29" i="4"/>
  <c r="T28" i="4"/>
  <c r="U28" i="4" s="1"/>
  <c r="S28" i="4"/>
  <c r="R28" i="4"/>
  <c r="S27" i="4"/>
  <c r="T27" i="4" s="1"/>
  <c r="U27" i="4" s="1"/>
  <c r="R27" i="4"/>
  <c r="T26" i="4"/>
  <c r="U26" i="4" s="1"/>
  <c r="S26" i="4"/>
  <c r="R26" i="4"/>
  <c r="T25" i="4"/>
  <c r="U25" i="4" s="1"/>
  <c r="S25" i="4"/>
  <c r="R25" i="4"/>
  <c r="S24" i="4"/>
  <c r="T24" i="4" s="1"/>
  <c r="U24" i="4" s="1"/>
  <c r="R24" i="4"/>
  <c r="S23" i="4"/>
  <c r="T23" i="4" s="1"/>
  <c r="U23" i="4" s="1"/>
  <c r="R23" i="4"/>
  <c r="T22" i="4"/>
  <c r="U22" i="4" s="1"/>
  <c r="S22" i="4"/>
  <c r="R22" i="4"/>
  <c r="S21" i="4"/>
  <c r="T21" i="4" s="1"/>
  <c r="U21" i="4" s="1"/>
  <c r="R21" i="4"/>
  <c r="S20" i="4"/>
  <c r="T20" i="4" s="1"/>
  <c r="U20" i="4" s="1"/>
  <c r="R20" i="4"/>
  <c r="T19" i="4"/>
  <c r="U19" i="4" s="1"/>
  <c r="S19" i="4"/>
  <c r="R19" i="4"/>
  <c r="T18" i="4"/>
  <c r="U18" i="4" s="1"/>
  <c r="S18" i="4"/>
  <c r="R18" i="4"/>
  <c r="S17" i="4"/>
  <c r="T17" i="4" s="1"/>
  <c r="U17" i="4" s="1"/>
  <c r="R17" i="4"/>
  <c r="S16" i="4"/>
  <c r="T16" i="4" s="1"/>
  <c r="U16" i="4" s="1"/>
  <c r="R16" i="4"/>
  <c r="S15" i="4"/>
  <c r="T15" i="4" s="1"/>
  <c r="U15" i="4" s="1"/>
  <c r="R15" i="4"/>
  <c r="S14" i="4"/>
  <c r="T14" i="4" s="1"/>
  <c r="U14" i="4" s="1"/>
  <c r="R14" i="4"/>
  <c r="S13" i="4"/>
  <c r="T13" i="4" s="1"/>
  <c r="U13" i="4" s="1"/>
  <c r="R13" i="4"/>
  <c r="T12" i="4"/>
  <c r="U12" i="4" s="1"/>
  <c r="S12" i="4"/>
  <c r="R12" i="4"/>
  <c r="S11" i="4"/>
  <c r="T11" i="4" s="1"/>
  <c r="U11" i="4" s="1"/>
  <c r="R11" i="4"/>
  <c r="T10" i="4"/>
  <c r="U10" i="4" s="1"/>
  <c r="S10" i="4"/>
  <c r="R10" i="4"/>
  <c r="T9" i="4"/>
  <c r="U9" i="4" s="1"/>
  <c r="S9" i="4"/>
  <c r="R9" i="4"/>
  <c r="S8" i="4"/>
  <c r="T8" i="4" s="1"/>
  <c r="U8" i="4" s="1"/>
  <c r="R8" i="4"/>
  <c r="S7" i="4"/>
  <c r="T7" i="4" s="1"/>
  <c r="U7" i="4" s="1"/>
  <c r="R7" i="4"/>
  <c r="T6" i="4"/>
  <c r="U6" i="4" s="1"/>
  <c r="S6" i="4"/>
  <c r="R6" i="4"/>
  <c r="S5" i="4"/>
  <c r="T5" i="4" s="1"/>
  <c r="U5" i="4" s="1"/>
  <c r="R5" i="4"/>
  <c r="S4" i="4"/>
  <c r="T4" i="4" s="1"/>
  <c r="R4" i="4"/>
  <c r="T3" i="4"/>
  <c r="U3" i="4" s="1"/>
  <c r="S3" i="4"/>
  <c r="R3" i="4"/>
  <c r="T2" i="4"/>
  <c r="S2" i="4"/>
  <c r="R2" i="4"/>
  <c r="U37" i="4" l="1"/>
  <c r="U40" i="4"/>
  <c r="U41" i="4"/>
  <c r="U35" i="4"/>
  <c r="U34" i="4"/>
  <c r="L82" i="10"/>
  <c r="F2" i="10"/>
  <c r="L4" i="10"/>
  <c r="I6" i="10"/>
  <c r="F8" i="10"/>
  <c r="F10" i="10"/>
  <c r="F14" i="10"/>
  <c r="L31" i="10"/>
  <c r="M37" i="10"/>
  <c r="L51" i="10"/>
  <c r="M57" i="10"/>
  <c r="L66" i="10"/>
  <c r="L85" i="10"/>
  <c r="U4" i="4"/>
  <c r="I2" i="10"/>
  <c r="M4" i="10"/>
  <c r="L6" i="10"/>
  <c r="I8" i="10"/>
  <c r="L10" i="10"/>
  <c r="L14" i="10"/>
  <c r="F19" i="10"/>
  <c r="L25" i="10"/>
  <c r="M31" i="10"/>
  <c r="L45" i="10"/>
  <c r="M51" i="10"/>
  <c r="M66" i="10"/>
  <c r="M74" i="10"/>
  <c r="M87" i="10"/>
  <c r="Q2" i="10"/>
  <c r="M6" i="10"/>
  <c r="L8" i="10"/>
  <c r="M10" i="10"/>
  <c r="M14" i="10"/>
  <c r="L19" i="10"/>
  <c r="M25" i="10"/>
  <c r="L39" i="10"/>
  <c r="M45" i="10"/>
  <c r="L58" i="10"/>
  <c r="R2" i="10"/>
  <c r="Q4" i="10"/>
  <c r="M8" i="10"/>
  <c r="F11" i="10"/>
  <c r="M19" i="10"/>
  <c r="L32" i="10"/>
  <c r="M39" i="10"/>
  <c r="L52" i="10"/>
  <c r="M58" i="10"/>
  <c r="L67" i="10"/>
  <c r="M88" i="10"/>
  <c r="U39" i="4"/>
  <c r="R4" i="10"/>
  <c r="Q6" i="10"/>
  <c r="L11" i="10"/>
  <c r="F15" i="10"/>
  <c r="L26" i="10"/>
  <c r="M33" i="10"/>
  <c r="L46" i="10"/>
  <c r="M52" i="10"/>
  <c r="M67" i="10"/>
  <c r="L77" i="10"/>
  <c r="B3" i="10"/>
  <c r="R6" i="10"/>
  <c r="Q8" i="10"/>
  <c r="M11" i="10"/>
  <c r="L15" i="10"/>
  <c r="L20" i="10"/>
  <c r="M26" i="10"/>
  <c r="L40" i="10"/>
  <c r="M46" i="10"/>
  <c r="M89" i="10"/>
  <c r="C3" i="10"/>
  <c r="B5" i="10"/>
  <c r="C9" i="10"/>
  <c r="M15" i="10"/>
  <c r="M20" i="10"/>
  <c r="L34" i="10"/>
  <c r="M40" i="10"/>
  <c r="L53" i="10"/>
  <c r="L61" i="10"/>
  <c r="L68" i="10"/>
  <c r="L78" i="10"/>
  <c r="F3" i="10"/>
  <c r="C5" i="10"/>
  <c r="B7" i="10"/>
  <c r="F9" i="10"/>
  <c r="B12" i="10"/>
  <c r="L28" i="10"/>
  <c r="M34" i="10"/>
  <c r="L47" i="10"/>
  <c r="M53" i="10"/>
  <c r="M61" i="10"/>
  <c r="M68" i="10"/>
  <c r="M90" i="10"/>
  <c r="I3" i="10"/>
  <c r="F5" i="10"/>
  <c r="C7" i="10"/>
  <c r="L9" i="10"/>
  <c r="C12" i="10"/>
  <c r="F16" i="10"/>
  <c r="L21" i="10"/>
  <c r="M28" i="10"/>
  <c r="L41" i="10"/>
  <c r="M47" i="10"/>
  <c r="L79" i="10"/>
  <c r="U36" i="4"/>
  <c r="B8" i="6"/>
  <c r="E8" i="6"/>
  <c r="L3" i="10"/>
  <c r="I5" i="10"/>
  <c r="M7" i="10"/>
  <c r="M9" i="10"/>
  <c r="F12" i="10"/>
  <c r="L16" i="10"/>
  <c r="M21" i="10"/>
  <c r="L35" i="10"/>
  <c r="M41" i="10"/>
  <c r="L55" i="10"/>
  <c r="L62" i="10"/>
  <c r="L69" i="10"/>
  <c r="L93" i="10"/>
  <c r="M3" i="10"/>
  <c r="L5" i="10"/>
  <c r="L12" i="10"/>
  <c r="M16" i="10"/>
  <c r="L29" i="10"/>
  <c r="M35" i="10"/>
  <c r="L48" i="10"/>
  <c r="M55" i="10"/>
  <c r="M62" i="10"/>
  <c r="M69" i="10"/>
  <c r="M103" i="10"/>
  <c r="L98" i="10"/>
  <c r="M108" i="10"/>
  <c r="L103" i="10"/>
  <c r="M92" i="10"/>
  <c r="L87" i="10"/>
  <c r="M76" i="10"/>
  <c r="L71" i="10"/>
  <c r="M60" i="10"/>
  <c r="L108" i="10"/>
  <c r="N108" i="10" s="1"/>
  <c r="M97" i="10"/>
  <c r="L92" i="10"/>
  <c r="M81" i="10"/>
  <c r="L76" i="10"/>
  <c r="M65" i="10"/>
  <c r="L60" i="10"/>
  <c r="M102" i="10"/>
  <c r="L97" i="10"/>
  <c r="M86" i="10"/>
  <c r="L81" i="10"/>
  <c r="M70" i="10"/>
  <c r="L65" i="10"/>
  <c r="M54" i="10"/>
  <c r="L49" i="10"/>
  <c r="M38" i="10"/>
  <c r="L33" i="10"/>
  <c r="M22" i="10"/>
  <c r="C11" i="10"/>
  <c r="B9" i="10"/>
  <c r="L7" i="10"/>
  <c r="R5" i="10"/>
  <c r="F4" i="10"/>
  <c r="M91" i="10"/>
  <c r="M75" i="10"/>
  <c r="M107" i="10"/>
  <c r="L102" i="10"/>
  <c r="L86" i="10"/>
  <c r="L70" i="10"/>
  <c r="M59" i="10"/>
  <c r="L54" i="10"/>
  <c r="M43" i="10"/>
  <c r="L38" i="10"/>
  <c r="M27" i="10"/>
  <c r="L22" i="10"/>
  <c r="M17" i="10"/>
  <c r="M13" i="10"/>
  <c r="B11" i="10"/>
  <c r="I7" i="10"/>
  <c r="Q5" i="10"/>
  <c r="C4" i="10"/>
  <c r="M2" i="10"/>
  <c r="M64" i="10"/>
  <c r="L59" i="10"/>
  <c r="M48" i="10"/>
  <c r="L43" i="10"/>
  <c r="M32" i="10"/>
  <c r="L27" i="10"/>
  <c r="L17" i="10"/>
  <c r="L13" i="10"/>
  <c r="N13" i="10" s="1"/>
  <c r="R8" i="10"/>
  <c r="F7" i="10"/>
  <c r="B4" i="10"/>
  <c r="L2" i="10"/>
  <c r="U2" i="4"/>
  <c r="L96" i="10"/>
  <c r="M85" i="10"/>
  <c r="L80" i="10"/>
  <c r="L107" i="10"/>
  <c r="M96" i="10"/>
  <c r="L91" i="10"/>
  <c r="M80" i="10"/>
  <c r="L75" i="10"/>
  <c r="M101" i="10"/>
  <c r="M106" i="10"/>
  <c r="L101" i="10"/>
  <c r="L106" i="10"/>
  <c r="M95" i="10"/>
  <c r="L90" i="10"/>
  <c r="M79" i="10"/>
  <c r="L74" i="10"/>
  <c r="M100" i="10"/>
  <c r="M105" i="10"/>
  <c r="L105" i="10"/>
  <c r="M94" i="10"/>
  <c r="L89" i="10"/>
  <c r="N89" i="10" s="1"/>
  <c r="M78" i="10"/>
  <c r="L73" i="10"/>
  <c r="M99" i="10"/>
  <c r="M104" i="10"/>
  <c r="L99" i="10"/>
  <c r="L104" i="10"/>
  <c r="M93" i="10"/>
  <c r="L88" i="10"/>
  <c r="M77" i="10"/>
  <c r="L72" i="10"/>
  <c r="M98" i="10"/>
  <c r="M5" i="10"/>
  <c r="Q7" i="10"/>
  <c r="Q9" i="10"/>
  <c r="M12" i="10"/>
  <c r="L23" i="10"/>
  <c r="N23" i="10" s="1"/>
  <c r="M29" i="10"/>
  <c r="L42" i="10"/>
  <c r="M49" i="10"/>
  <c r="M71" i="10"/>
  <c r="M82" i="10"/>
  <c r="L94" i="10"/>
  <c r="N8" i="6"/>
  <c r="Q3" i="10"/>
  <c r="R7" i="10"/>
  <c r="R9" i="10"/>
  <c r="F17" i="10"/>
  <c r="M23" i="10"/>
  <c r="L36" i="10"/>
  <c r="M42" i="10"/>
  <c r="L56" i="10"/>
  <c r="L63" i="10"/>
  <c r="L83" i="10"/>
  <c r="U33" i="4"/>
  <c r="R3" i="10"/>
  <c r="B6" i="10"/>
  <c r="B13" i="10"/>
  <c r="F18" i="10"/>
  <c r="L30" i="10"/>
  <c r="M36" i="10"/>
  <c r="L50" i="10"/>
  <c r="M56" i="10"/>
  <c r="M63" i="10"/>
  <c r="M72" i="10"/>
  <c r="M83" i="10"/>
  <c r="L95" i="10"/>
  <c r="B2" i="10"/>
  <c r="C6" i="10"/>
  <c r="B8" i="10"/>
  <c r="B10" i="10"/>
  <c r="C13" i="10"/>
  <c r="L18" i="10"/>
  <c r="L24" i="10"/>
  <c r="M30" i="10"/>
  <c r="L44" i="10"/>
  <c r="M50" i="10"/>
  <c r="L84" i="10"/>
  <c r="C2" i="10"/>
  <c r="I4" i="10"/>
  <c r="F6" i="10"/>
  <c r="C8" i="10"/>
  <c r="C10" i="10"/>
  <c r="F13" i="10"/>
  <c r="M18" i="10"/>
  <c r="M24" i="10"/>
  <c r="L37" i="10"/>
  <c r="M44" i="10"/>
  <c r="L57" i="10"/>
  <c r="L64" i="10"/>
  <c r="M73" i="10"/>
  <c r="M84" i="10"/>
  <c r="L100" i="10"/>
  <c r="S3" i="10" l="1"/>
  <c r="K8" i="6"/>
  <c r="N106" i="10"/>
  <c r="N84" i="10"/>
  <c r="N50" i="10"/>
  <c r="N90" i="10"/>
  <c r="N7" i="10"/>
  <c r="N76" i="10"/>
  <c r="N68" i="10"/>
  <c r="N67" i="10"/>
  <c r="N48" i="10"/>
  <c r="N61" i="10"/>
  <c r="S8" i="10"/>
  <c r="N8" i="10"/>
  <c r="N29" i="10"/>
  <c r="S2" i="10"/>
  <c r="N85" i="10"/>
  <c r="N44" i="10"/>
  <c r="N52" i="10"/>
  <c r="N99" i="10"/>
  <c r="N32" i="10"/>
  <c r="N18" i="10"/>
  <c r="N27" i="10"/>
  <c r="N12" i="10"/>
  <c r="N92" i="10"/>
  <c r="N3" i="10"/>
  <c r="N75" i="10"/>
  <c r="N54" i="10"/>
  <c r="N49" i="10"/>
  <c r="N71" i="10"/>
  <c r="N5" i="10"/>
  <c r="N51" i="10"/>
  <c r="N37" i="10"/>
  <c r="N42" i="10"/>
  <c r="N73" i="10"/>
  <c r="N43" i="10"/>
  <c r="N47" i="10"/>
  <c r="N46" i="10"/>
  <c r="N94" i="10"/>
  <c r="N91" i="10"/>
  <c r="N70" i="10"/>
  <c r="N65" i="10"/>
  <c r="N87" i="10"/>
  <c r="N93" i="10"/>
  <c r="N79" i="10"/>
  <c r="S4" i="10"/>
  <c r="N45" i="10"/>
  <c r="N31" i="10"/>
  <c r="N101" i="10"/>
  <c r="N63" i="10"/>
  <c r="N59" i="10"/>
  <c r="N86" i="10"/>
  <c r="N69" i="10"/>
  <c r="N28" i="10"/>
  <c r="N26" i="10"/>
  <c r="N22" i="10"/>
  <c r="N17" i="10"/>
  <c r="N57" i="10"/>
  <c r="N56" i="10"/>
  <c r="N107" i="10"/>
  <c r="N102" i="10"/>
  <c r="N81" i="10"/>
  <c r="N103" i="10"/>
  <c r="N62" i="10"/>
  <c r="N41" i="10"/>
  <c r="N58" i="10"/>
  <c r="N25" i="10"/>
  <c r="N38" i="10"/>
  <c r="N66" i="10"/>
  <c r="N95" i="10"/>
  <c r="S9" i="10"/>
  <c r="N105" i="10"/>
  <c r="N80" i="10"/>
  <c r="N55" i="10"/>
  <c r="N11" i="10"/>
  <c r="N30" i="10"/>
  <c r="N64" i="10"/>
  <c r="N34" i="10"/>
  <c r="N83" i="10"/>
  <c r="N36" i="10"/>
  <c r="S7" i="10"/>
  <c r="N97" i="10"/>
  <c r="N98" i="10"/>
  <c r="N21" i="10"/>
  <c r="N40" i="10"/>
  <c r="S6" i="10"/>
  <c r="N39" i="10"/>
  <c r="N14" i="10"/>
  <c r="N88" i="10"/>
  <c r="N104" i="10"/>
  <c r="N33" i="10"/>
  <c r="S5" i="10"/>
  <c r="N35" i="10"/>
  <c r="N10" i="10"/>
  <c r="N4" i="10"/>
  <c r="N96" i="10"/>
  <c r="N74" i="10"/>
  <c r="H8" i="6"/>
  <c r="N60" i="10"/>
  <c r="N20" i="10"/>
  <c r="N19" i="10"/>
  <c r="N100" i="10"/>
  <c r="N53" i="10"/>
  <c r="N24" i="10"/>
  <c r="N77" i="10"/>
  <c r="N72" i="10"/>
  <c r="N2" i="10"/>
  <c r="N16" i="10"/>
  <c r="N9" i="10"/>
  <c r="N78" i="10"/>
  <c r="N15" i="10"/>
  <c r="N6" i="10"/>
  <c r="N82" i="10"/>
  <c r="F41" i="6" l="1"/>
  <c r="H43" i="6"/>
  <c r="H44" i="6"/>
  <c r="G44" i="6"/>
  <c r="F44" i="6"/>
  <c r="G43" i="6"/>
  <c r="H42" i="6"/>
  <c r="F43" i="6"/>
  <c r="H45" i="6"/>
  <c r="G42" i="6"/>
  <c r="F45" i="6"/>
  <c r="G41" i="6"/>
  <c r="G45" i="6"/>
  <c r="F42" i="6"/>
  <c r="H41" i="6"/>
  <c r="C44" i="6"/>
  <c r="B44" i="6"/>
  <c r="D41" i="6"/>
  <c r="C41" i="6"/>
  <c r="B45" i="6"/>
  <c r="B41" i="6"/>
  <c r="D44" i="6"/>
  <c r="C43" i="6"/>
  <c r="D43" i="6"/>
  <c r="B43" i="6"/>
  <c r="D42" i="6"/>
  <c r="D45" i="6"/>
  <c r="C42" i="6"/>
  <c r="B42" i="6"/>
  <c r="C45" i="6"/>
</calcChain>
</file>

<file path=xl/sharedStrings.xml><?xml version="1.0" encoding="utf-8"?>
<sst xmlns="http://schemas.openxmlformats.org/spreadsheetml/2006/main" count="5576" uniqueCount="1285">
  <si>
    <t>ID_Produto</t>
  </si>
  <si>
    <t>Produto</t>
  </si>
  <si>
    <t>Categoria</t>
  </si>
  <si>
    <t>Subcategoria</t>
  </si>
  <si>
    <t>Preço_Unitário</t>
  </si>
  <si>
    <t>IVA</t>
  </si>
  <si>
    <t>Fornecedor</t>
  </si>
  <si>
    <t>Stock</t>
  </si>
  <si>
    <t>Estado</t>
  </si>
  <si>
    <t>Data_Criação</t>
  </si>
  <si>
    <t>Observações</t>
  </si>
  <si>
    <t>P001</t>
  </si>
  <si>
    <t>Monitor 24"</t>
  </si>
  <si>
    <t>Informática</t>
  </si>
  <si>
    <t>Monitores</t>
  </si>
  <si>
    <t>TechVision</t>
  </si>
  <si>
    <t>Ativo</t>
  </si>
  <si>
    <t>P002</t>
  </si>
  <si>
    <t>Teclado Mecânico</t>
  </si>
  <si>
    <t>Periféricos</t>
  </si>
  <si>
    <t>Teclados</t>
  </si>
  <si>
    <t>KeyMaster</t>
  </si>
  <si>
    <t>P003</t>
  </si>
  <si>
    <t>Rato Ótico</t>
  </si>
  <si>
    <t>Ratos</t>
  </si>
  <si>
    <t>MouseTech</t>
  </si>
  <si>
    <t>P004</t>
  </si>
  <si>
    <t>Portátil 15"</t>
  </si>
  <si>
    <t>Computadores</t>
  </si>
  <si>
    <t>P005</t>
  </si>
  <si>
    <t>Webcam HD</t>
  </si>
  <si>
    <t>Webcams</t>
  </si>
  <si>
    <t>VisionCam</t>
  </si>
  <si>
    <t>P006</t>
  </si>
  <si>
    <t>SSD 1TB</t>
  </si>
  <si>
    <t>Armazenamento</t>
  </si>
  <si>
    <t>SSD</t>
  </si>
  <si>
    <t>FastStorage</t>
  </si>
  <si>
    <t>P007</t>
  </si>
  <si>
    <t>SSD 1 TB</t>
  </si>
  <si>
    <t>Duplicado P006</t>
  </si>
  <si>
    <t>P008</t>
  </si>
  <si>
    <t>Disco SSD 1TB</t>
  </si>
  <si>
    <t>P009</t>
  </si>
  <si>
    <t>Impressora Laser</t>
  </si>
  <si>
    <t>Impressão</t>
  </si>
  <si>
    <t>Impressoras</t>
  </si>
  <si>
    <t>PrintTech</t>
  </si>
  <si>
    <t>P010</t>
  </si>
  <si>
    <t>Tinteiro Preto</t>
  </si>
  <si>
    <t>Consumíveis</t>
  </si>
  <si>
    <t>P011</t>
  </si>
  <si>
    <t>Router Wi-Fi 6</t>
  </si>
  <si>
    <t>Redes</t>
  </si>
  <si>
    <t>Routers</t>
  </si>
  <si>
    <t>NetSolutions</t>
  </si>
  <si>
    <t>P012</t>
  </si>
  <si>
    <t>Switch 8 Portas</t>
  </si>
  <si>
    <t>Switches</t>
  </si>
  <si>
    <t>P013</t>
  </si>
  <si>
    <t>Cabo HDMI 2m</t>
  </si>
  <si>
    <t>Acessórios</t>
  </si>
  <si>
    <t>Cabos</t>
  </si>
  <si>
    <t>CablePro</t>
  </si>
  <si>
    <t>P014</t>
  </si>
  <si>
    <t>Cabo HDMI 2 Metros</t>
  </si>
  <si>
    <t>Inativo</t>
  </si>
  <si>
    <t>Duplicado P013</t>
  </si>
  <si>
    <t>P015</t>
  </si>
  <si>
    <t>Pen USB 64GB</t>
  </si>
  <si>
    <t>USB</t>
  </si>
  <si>
    <t>FlashStore</t>
  </si>
  <si>
    <t>Sem stock</t>
  </si>
  <si>
    <t>P016</t>
  </si>
  <si>
    <t>Pen USB 64 Gb</t>
  </si>
  <si>
    <t>Duplicado P014</t>
  </si>
  <si>
    <t>P017</t>
  </si>
  <si>
    <t>Headset Gaming</t>
  </si>
  <si>
    <t>Áudio</t>
  </si>
  <si>
    <t>SoundMax</t>
  </si>
  <si>
    <t>P018</t>
  </si>
  <si>
    <t>Colunas Bluetooth</t>
  </si>
  <si>
    <t>Audio</t>
  </si>
  <si>
    <t>Colunas</t>
  </si>
  <si>
    <t>P019</t>
  </si>
  <si>
    <t>Duplicado P018</t>
  </si>
  <si>
    <t>P020</t>
  </si>
  <si>
    <t>Microfone USB</t>
  </si>
  <si>
    <t>Microfones</t>
  </si>
  <si>
    <t>P021</t>
  </si>
  <si>
    <t>Webcam Full HD</t>
  </si>
  <si>
    <t>P022</t>
  </si>
  <si>
    <t>WebCam Full HD</t>
  </si>
  <si>
    <t>Duplicado P021</t>
  </si>
  <si>
    <t>P023</t>
  </si>
  <si>
    <t>Notebook A5</t>
  </si>
  <si>
    <t>Escritório</t>
  </si>
  <si>
    <t>Papelaria</t>
  </si>
  <si>
    <t>OfficePro</t>
  </si>
  <si>
    <t>P024</t>
  </si>
  <si>
    <t>Cadeira Escritório</t>
  </si>
  <si>
    <t>Mobiliário</t>
  </si>
  <si>
    <t>Cadeiras</t>
  </si>
  <si>
    <t>P025</t>
  </si>
  <si>
    <t>Secretária 120cm</t>
  </si>
  <si>
    <t>Secretárias</t>
  </si>
  <si>
    <t>P026</t>
  </si>
  <si>
    <t>Monitor 27"</t>
  </si>
  <si>
    <t>P027</t>
  </si>
  <si>
    <t>Monitor 27</t>
  </si>
  <si>
    <t>Tech Vision</t>
  </si>
  <si>
    <t>Duplicado P026</t>
  </si>
  <si>
    <t>P028</t>
  </si>
  <si>
    <t>Monitor 27''</t>
  </si>
  <si>
    <t>TECHVISION</t>
  </si>
  <si>
    <t>P029</t>
  </si>
  <si>
    <t>Tablet 10"</t>
  </si>
  <si>
    <t>Tablets</t>
  </si>
  <si>
    <t>P030</t>
  </si>
  <si>
    <t>Tablet 10 Pol.</t>
  </si>
  <si>
    <t>Duplicado P029</t>
  </si>
  <si>
    <t>P031</t>
  </si>
  <si>
    <t>Smartphone X</t>
  </si>
  <si>
    <t>Telecomunicações</t>
  </si>
  <si>
    <t>Smartphones</t>
  </si>
  <si>
    <t>MobileTech</t>
  </si>
  <si>
    <t>P032</t>
  </si>
  <si>
    <t>Promoção</t>
  </si>
  <si>
    <t>Preço promocional</t>
  </si>
  <si>
    <t>P033</t>
  </si>
  <si>
    <t>SmartPhone X</t>
  </si>
  <si>
    <t>Mobile Tech</t>
  </si>
  <si>
    <t>Duplicado P031</t>
  </si>
  <si>
    <t>P034</t>
  </si>
  <si>
    <t>Power Bank 20000mAh</t>
  </si>
  <si>
    <t>Energia</t>
  </si>
  <si>
    <t>PowerLife</t>
  </si>
  <si>
    <t>P035</t>
  </si>
  <si>
    <t>PowerBank 20000 mAh</t>
  </si>
  <si>
    <t>Power Life</t>
  </si>
  <si>
    <t>Duplicado P034</t>
  </si>
  <si>
    <t>P036</t>
  </si>
  <si>
    <t>Carregador USB-C</t>
  </si>
  <si>
    <t>P037</t>
  </si>
  <si>
    <t>Carregador USB C</t>
  </si>
  <si>
    <t>POWERLIFE</t>
  </si>
  <si>
    <t>Duplicado P036</t>
  </si>
  <si>
    <t>P038</t>
  </si>
  <si>
    <t>Hub USB-C</t>
  </si>
  <si>
    <t>Adaptadores</t>
  </si>
  <si>
    <t>P039</t>
  </si>
  <si>
    <t>Hub USB C</t>
  </si>
  <si>
    <t>Cable Pro</t>
  </si>
  <si>
    <t>Duplicado P038</t>
  </si>
  <si>
    <t>P040</t>
  </si>
  <si>
    <t>Docking Station</t>
  </si>
  <si>
    <t>P041</t>
  </si>
  <si>
    <t>Dock Station</t>
  </si>
  <si>
    <t>Duplicado P041</t>
  </si>
  <si>
    <t>P042</t>
  </si>
  <si>
    <t>Projetor LED</t>
  </si>
  <si>
    <t>Imagem</t>
  </si>
  <si>
    <t>Projetores</t>
  </si>
  <si>
    <t>P043</t>
  </si>
  <si>
    <t>Projector LED</t>
  </si>
  <si>
    <t>Vision Cam</t>
  </si>
  <si>
    <t>Duplicado P042</t>
  </si>
  <si>
    <t>P044</t>
  </si>
  <si>
    <t>Scanner A4</t>
  </si>
  <si>
    <t>Scanners</t>
  </si>
  <si>
    <t>P045</t>
  </si>
  <si>
    <t>Impressao</t>
  </si>
  <si>
    <t>Print Tech</t>
  </si>
  <si>
    <t>Categoria e fornecedor diferentes</t>
  </si>
  <si>
    <t>P046</t>
  </si>
  <si>
    <t>Licença Office 365</t>
  </si>
  <si>
    <t>Software</t>
  </si>
  <si>
    <t>Produtividade</t>
  </si>
  <si>
    <t>Microsoft</t>
  </si>
  <si>
    <t>N/A</t>
  </si>
  <si>
    <t>Produto digital sem produto fisico</t>
  </si>
  <si>
    <t>P047</t>
  </si>
  <si>
    <t>Licença Microsoft 365</t>
  </si>
  <si>
    <t>Duplicado P046</t>
  </si>
  <si>
    <t>P048</t>
  </si>
  <si>
    <t>Antivírus Premium</t>
  </si>
  <si>
    <t>Segurança</t>
  </si>
  <si>
    <t>SecureSoft</t>
  </si>
  <si>
    <t>P049</t>
  </si>
  <si>
    <t>Antivirus Premium</t>
  </si>
  <si>
    <t>Secure Soft</t>
  </si>
  <si>
    <t>Duplicado P048</t>
  </si>
  <si>
    <t>P050</t>
  </si>
  <si>
    <t>Descontinuado</t>
  </si>
  <si>
    <t>Produto descontinuado</t>
  </si>
  <si>
    <t>P051</t>
  </si>
  <si>
    <t>Mouse Pad XL</t>
  </si>
  <si>
    <t>Tapetes</t>
  </si>
  <si>
    <t>GameTech</t>
  </si>
  <si>
    <t>P052</t>
  </si>
  <si>
    <t>Tapete Gaming XL</t>
  </si>
  <si>
    <t>Game Tech</t>
  </si>
  <si>
    <t>Duplicado P051</t>
  </si>
  <si>
    <t>P053</t>
  </si>
  <si>
    <t>Câmara IP Wi-Fi</t>
  </si>
  <si>
    <t>Videovigilância</t>
  </si>
  <si>
    <t>SafeHome</t>
  </si>
  <si>
    <t>P054</t>
  </si>
  <si>
    <t>Camera IP WIFI</t>
  </si>
  <si>
    <t>Safe Home</t>
  </si>
  <si>
    <t>Duplicado P053</t>
  </si>
  <si>
    <t>P055</t>
  </si>
  <si>
    <t>Disco Externo 2TB</t>
  </si>
  <si>
    <t>Discos Externos</t>
  </si>
  <si>
    <t>P056</t>
  </si>
  <si>
    <t>Disco Externo 2 TB</t>
  </si>
  <si>
    <t>FASTSTORAGE</t>
  </si>
  <si>
    <t>Duplicado P055</t>
  </si>
  <si>
    <t>P057</t>
  </si>
  <si>
    <t>NAS 2 Baias</t>
  </si>
  <si>
    <t>NAS</t>
  </si>
  <si>
    <t>Synology</t>
  </si>
  <si>
    <t>P058</t>
  </si>
  <si>
    <t>NAS 2 Bay</t>
  </si>
  <si>
    <t>Duplicado P057</t>
  </si>
  <si>
    <t>P059</t>
  </si>
  <si>
    <t>Router Empresarial</t>
  </si>
  <si>
    <t>P060</t>
  </si>
  <si>
    <t>Net Solutions</t>
  </si>
  <si>
    <t>Duplicado P059</t>
  </si>
  <si>
    <t>P061</t>
  </si>
  <si>
    <t>Switch 24 Portas</t>
  </si>
  <si>
    <t>P062</t>
  </si>
  <si>
    <t>Switch 24 portas</t>
  </si>
  <si>
    <t>NETSOLUTIONS</t>
  </si>
  <si>
    <t>Duplicado P061</t>
  </si>
  <si>
    <t>P063</t>
  </si>
  <si>
    <t>Access Point Wi-Fi 6</t>
  </si>
  <si>
    <t>Wireless</t>
  </si>
  <si>
    <t>P064</t>
  </si>
  <si>
    <t>Access Point WIFI6</t>
  </si>
  <si>
    <t>Duplicado P063</t>
  </si>
  <si>
    <t>P065</t>
  </si>
  <si>
    <t>Firewall Empresarial</t>
  </si>
  <si>
    <t>SecureNet</t>
  </si>
  <si>
    <t>P066</t>
  </si>
  <si>
    <t>Secure Net</t>
  </si>
  <si>
    <t>Duplicado P065</t>
  </si>
  <si>
    <t>P067</t>
  </si>
  <si>
    <t>Leitor Código Barras</t>
  </si>
  <si>
    <t>POS</t>
  </si>
  <si>
    <t>Leitores</t>
  </si>
  <si>
    <t>RetailTech</t>
  </si>
  <si>
    <t>P068</t>
  </si>
  <si>
    <t>Leitor Cod Barras</t>
  </si>
  <si>
    <t>Retail Tech</t>
  </si>
  <si>
    <t>Duplicado P067</t>
  </si>
  <si>
    <t>P069</t>
  </si>
  <si>
    <t>Impressora Térmica</t>
  </si>
  <si>
    <t>P070</t>
  </si>
  <si>
    <t>Impressora Termica</t>
  </si>
  <si>
    <t>Duplicado P069</t>
  </si>
  <si>
    <t>P071</t>
  </si>
  <si>
    <t>Monitor Touch 15"</t>
  </si>
  <si>
    <t>TouchDisplay</t>
  </si>
  <si>
    <t>P072</t>
  </si>
  <si>
    <t>Monitor Touch 15 Pol.</t>
  </si>
  <si>
    <t>Touch Display</t>
  </si>
  <si>
    <t>Duplicado P071</t>
  </si>
  <si>
    <t>P073</t>
  </si>
  <si>
    <t>UPS 850VA</t>
  </si>
  <si>
    <t>UPS</t>
  </si>
  <si>
    <t>PowerSafe</t>
  </si>
  <si>
    <t>P074</t>
  </si>
  <si>
    <t>UPS 850 VA</t>
  </si>
  <si>
    <t>Power Safe</t>
  </si>
  <si>
    <t>Duplicado P073</t>
  </si>
  <si>
    <t>P075</t>
  </si>
  <si>
    <t>Bateria UPS 850VA</t>
  </si>
  <si>
    <t>Baterias</t>
  </si>
  <si>
    <t>P076</t>
  </si>
  <si>
    <t>Bateria UPS 850 VA</t>
  </si>
  <si>
    <t>Duplicado P075</t>
  </si>
  <si>
    <t>P077</t>
  </si>
  <si>
    <t>Licença Windows 11 Pro</t>
  </si>
  <si>
    <t>Sistema Operativo</t>
  </si>
  <si>
    <t>P078</t>
  </si>
  <si>
    <t>Windows 11 Professional</t>
  </si>
  <si>
    <t>Duplicado P077</t>
  </si>
  <si>
    <t>P079</t>
  </si>
  <si>
    <t>Adobe Photoshop 1 Ano</t>
  </si>
  <si>
    <t>Design</t>
  </si>
  <si>
    <t>Adobe</t>
  </si>
  <si>
    <t>P080</t>
  </si>
  <si>
    <t>Adobe Photoshop Anual</t>
  </si>
  <si>
    <t>ADOBE</t>
  </si>
  <si>
    <t>Duplicado P079</t>
  </si>
  <si>
    <t>P081</t>
  </si>
  <si>
    <t>Mini PC Intel i5</t>
  </si>
  <si>
    <t>Mini PC</t>
  </si>
  <si>
    <t>P082</t>
  </si>
  <si>
    <t>Mini-PC Intel i5</t>
  </si>
  <si>
    <t>Mini PCs</t>
  </si>
  <si>
    <t>Duplicado P081</t>
  </si>
  <si>
    <t>P083</t>
  </si>
  <si>
    <t>Mini PC Core i5</t>
  </si>
  <si>
    <t>P084</t>
  </si>
  <si>
    <t>Monitor Curvo 34"</t>
  </si>
  <si>
    <t>P085</t>
  </si>
  <si>
    <t>Monitor Curvo 34 Pol.</t>
  </si>
  <si>
    <t>Duplicado P084</t>
  </si>
  <si>
    <t>P086</t>
  </si>
  <si>
    <t>P087</t>
  </si>
  <si>
    <t>Teclado Wireless</t>
  </si>
  <si>
    <t>P088</t>
  </si>
  <si>
    <t>Teclado Sem Fios</t>
  </si>
  <si>
    <t>Key Master</t>
  </si>
  <si>
    <t>Duplicado P087</t>
  </si>
  <si>
    <t>P089</t>
  </si>
  <si>
    <t>Rato Wireless</t>
  </si>
  <si>
    <t>P090</t>
  </si>
  <si>
    <t>Mouse Wireless</t>
  </si>
  <si>
    <t>Mouse Tech</t>
  </si>
  <si>
    <t>Duplicado P089</t>
  </si>
  <si>
    <t>P091</t>
  </si>
  <si>
    <t>SSD NVMe 2TB</t>
  </si>
  <si>
    <t>P092</t>
  </si>
  <si>
    <t>SSD NVME 2 TB</t>
  </si>
  <si>
    <t>Duplicado P091</t>
  </si>
  <si>
    <t>P093</t>
  </si>
  <si>
    <t>P094</t>
  </si>
  <si>
    <t>Servidor NAS 4 Baias</t>
  </si>
  <si>
    <t>P095</t>
  </si>
  <si>
    <t>Servidor NAS 4 Bay</t>
  </si>
  <si>
    <t>Duplicado P094</t>
  </si>
  <si>
    <t>P096</t>
  </si>
  <si>
    <t>Câmara Web 4K</t>
  </si>
  <si>
    <t>P097</t>
  </si>
  <si>
    <t>Webcam 4K</t>
  </si>
  <si>
    <t>Duplicado P096</t>
  </si>
  <si>
    <t>P098</t>
  </si>
  <si>
    <t>WebCam Ultra HD</t>
  </si>
  <si>
    <t>VISIONCAM</t>
  </si>
  <si>
    <t>P099</t>
  </si>
  <si>
    <t>Switch PoE 24 Portas</t>
  </si>
  <si>
    <t>P100</t>
  </si>
  <si>
    <t>Switch POE 24 portas</t>
  </si>
  <si>
    <t>Duplicado P099</t>
  </si>
  <si>
    <t>P101</t>
  </si>
  <si>
    <t>AP Wi-Fi Empresarial</t>
  </si>
  <si>
    <t>P102</t>
  </si>
  <si>
    <t>Access Point Empresarial</t>
  </si>
  <si>
    <t>Duplicado P101</t>
  </si>
  <si>
    <t>P103</t>
  </si>
  <si>
    <t>UPS Online 1500VA</t>
  </si>
  <si>
    <t>P104</t>
  </si>
  <si>
    <t>UPS Online 1500 VA</t>
  </si>
  <si>
    <t>Duplicado P103</t>
  </si>
  <si>
    <t>P105</t>
  </si>
  <si>
    <t>Licença Windows Server</t>
  </si>
  <si>
    <t>P106</t>
  </si>
  <si>
    <t>Windows Server Standard</t>
  </si>
  <si>
    <t>MICROSOFT</t>
  </si>
  <si>
    <t>Duplicado P105</t>
  </si>
  <si>
    <t>P107</t>
  </si>
  <si>
    <t>Adobe Illustrator</t>
  </si>
  <si>
    <t>P108</t>
  </si>
  <si>
    <t>Adobe Illustrator 1 Ano</t>
  </si>
  <si>
    <t>Duplicado P107</t>
  </si>
  <si>
    <t>P109</t>
  </si>
  <si>
    <t>Microsoft Project</t>
  </si>
  <si>
    <t>Gestão</t>
  </si>
  <si>
    <t>Stock em falta</t>
  </si>
  <si>
    <t>P110</t>
  </si>
  <si>
    <t>Microsoft Project Pro</t>
  </si>
  <si>
    <t>Duplicado P109</t>
  </si>
  <si>
    <t>P111</t>
  </si>
  <si>
    <t>Tablet Rugged</t>
  </si>
  <si>
    <t>Produto inativo com stock</t>
  </si>
  <si>
    <t>P112</t>
  </si>
  <si>
    <t>Tablet Rugged Pro</t>
  </si>
  <si>
    <t>P113</t>
  </si>
  <si>
    <t>Scanner Portátil</t>
  </si>
  <si>
    <t>P114</t>
  </si>
  <si>
    <t>Scanner Portatil</t>
  </si>
  <si>
    <t>Duplicado P113</t>
  </si>
  <si>
    <t>P115</t>
  </si>
  <si>
    <t>Produto Teste ERP</t>
  </si>
  <si>
    <t>Teste</t>
  </si>
  <si>
    <t>Diversos</t>
  </si>
  <si>
    <t>Registo de teste</t>
  </si>
  <si>
    <t>ID_Cliente</t>
  </si>
  <si>
    <t>Nome</t>
  </si>
  <si>
    <t>Cidade</t>
  </si>
  <si>
    <t>Região</t>
  </si>
  <si>
    <t>Email</t>
  </si>
  <si>
    <t>Telefone</t>
  </si>
  <si>
    <t>Data_Registo</t>
  </si>
  <si>
    <t>Canal_Aquisição</t>
  </si>
  <si>
    <t>C001</t>
  </si>
  <si>
    <t>João Silva</t>
  </si>
  <si>
    <t>Lisboa</t>
  </si>
  <si>
    <t>joao.silva@email.pt</t>
  </si>
  <si>
    <t>912345678</t>
  </si>
  <si>
    <t>Website</t>
  </si>
  <si>
    <t>C002</t>
  </si>
  <si>
    <t>Maria Costa</t>
  </si>
  <si>
    <t>Porto</t>
  </si>
  <si>
    <t>Norte</t>
  </si>
  <si>
    <t>maria.costa@email.pt</t>
  </si>
  <si>
    <t>919876543</t>
  </si>
  <si>
    <t>Loja Física</t>
  </si>
  <si>
    <t>C003</t>
  </si>
  <si>
    <t>Ana Pereira</t>
  </si>
  <si>
    <t>Coimbra</t>
  </si>
  <si>
    <t>Centro</t>
  </si>
  <si>
    <t>ana.pereira@email.pt</t>
  </si>
  <si>
    <t>918111222</t>
  </si>
  <si>
    <t>C004</t>
  </si>
  <si>
    <t>Pedro Santos</t>
  </si>
  <si>
    <t>Braga</t>
  </si>
  <si>
    <t>pedro.santos@email.pt</t>
  </si>
  <si>
    <t>913333444</t>
  </si>
  <si>
    <t>Feira</t>
  </si>
  <si>
    <t>C005</t>
  </si>
  <si>
    <t>Sofia Martins</t>
  </si>
  <si>
    <t>Aveiro</t>
  </si>
  <si>
    <t>sofia@email.pt</t>
  </si>
  <si>
    <t>914555666</t>
  </si>
  <si>
    <t>C006</t>
  </si>
  <si>
    <t>Miguel Rocha</t>
  </si>
  <si>
    <t>Faro</t>
  </si>
  <si>
    <t>Algarve</t>
  </si>
  <si>
    <t>miguel@email.pt</t>
  </si>
  <si>
    <t>910111111</t>
  </si>
  <si>
    <t>C007</t>
  </si>
  <si>
    <t>Carla Sousa</t>
  </si>
  <si>
    <t>carla.sousa@email.pt</t>
  </si>
  <si>
    <t>916777888</t>
  </si>
  <si>
    <t>Indicação</t>
  </si>
  <si>
    <t>C008</t>
  </si>
  <si>
    <t>Ricardo Lopes</t>
  </si>
  <si>
    <t>ricardo@email.pt</t>
  </si>
  <si>
    <t>917888999</t>
  </si>
  <si>
    <t>C009</t>
  </si>
  <si>
    <t>Helena Dias</t>
  </si>
  <si>
    <t>helena@email.pt</t>
  </si>
  <si>
    <t>918999000</t>
  </si>
  <si>
    <t>C010</t>
  </si>
  <si>
    <t>Tiago Almeida</t>
  </si>
  <si>
    <t>tiago@email.pt</t>
  </si>
  <si>
    <t>919000111</t>
  </si>
  <si>
    <t>Linkedin</t>
  </si>
  <si>
    <t>C011</t>
  </si>
  <si>
    <t>Patrícia Gomes</t>
  </si>
  <si>
    <t>patricia@email.pt</t>
  </si>
  <si>
    <t>912111333</t>
  </si>
  <si>
    <t>C012</t>
  </si>
  <si>
    <t>Rui Fernandes</t>
  </si>
  <si>
    <t>Setúbal</t>
  </si>
  <si>
    <t>Sul</t>
  </si>
  <si>
    <t>rui@email.pt</t>
  </si>
  <si>
    <t>913222444</t>
  </si>
  <si>
    <t>C013</t>
  </si>
  <si>
    <t>Inês Carvalho</t>
  </si>
  <si>
    <t>Viseu</t>
  </si>
  <si>
    <t>ines@email.pt</t>
  </si>
  <si>
    <t>914333555</t>
  </si>
  <si>
    <t>C014</t>
  </si>
  <si>
    <t>Bruno Martins</t>
  </si>
  <si>
    <t>Leiria</t>
  </si>
  <si>
    <t>bruno@email.pt</t>
  </si>
  <si>
    <t>915444666</t>
  </si>
  <si>
    <t>C015</t>
  </si>
  <si>
    <t>Joana Oliveira</t>
  </si>
  <si>
    <t>joana@email.pt</t>
  </si>
  <si>
    <t>916555777</t>
  </si>
  <si>
    <t>C016</t>
  </si>
  <si>
    <t>Carlos Ribeiro</t>
  </si>
  <si>
    <t>Évora</t>
  </si>
  <si>
    <t>Alentejo</t>
  </si>
  <si>
    <t>carlos@email.pt</t>
  </si>
  <si>
    <t>917666888</t>
  </si>
  <si>
    <t>C017</t>
  </si>
  <si>
    <t>Sara Lopes</t>
  </si>
  <si>
    <t>sara@email.pt</t>
  </si>
  <si>
    <t>918777999</t>
  </si>
  <si>
    <t>C018</t>
  </si>
  <si>
    <t>David Cruz</t>
  </si>
  <si>
    <t>david@email.pt</t>
  </si>
  <si>
    <t>919888111</t>
  </si>
  <si>
    <t>C019</t>
  </si>
  <si>
    <t>Beatriz Sousa</t>
  </si>
  <si>
    <t>beatriz@email.pt</t>
  </si>
  <si>
    <t>911999222</t>
  </si>
  <si>
    <t>C020</t>
  </si>
  <si>
    <t>Luís Pinto</t>
  </si>
  <si>
    <t>luis@email.pt</t>
  </si>
  <si>
    <t>912888333</t>
  </si>
  <si>
    <t>C021</t>
  </si>
  <si>
    <t>Marta Silva</t>
  </si>
  <si>
    <t>marta@email.pt</t>
  </si>
  <si>
    <t>913777444</t>
  </si>
  <si>
    <t>C022</t>
  </si>
  <si>
    <t>André Costa</t>
  </si>
  <si>
    <t>andre@email.pt</t>
  </si>
  <si>
    <t>914666555</t>
  </si>
  <si>
    <t>C023</t>
  </si>
  <si>
    <t>Duplicado C001</t>
  </si>
  <si>
    <t>C024</t>
  </si>
  <si>
    <t>Filipa Nunes</t>
  </si>
  <si>
    <t>filipa@email</t>
  </si>
  <si>
    <t>915555111</t>
  </si>
  <si>
    <t>Email inválido</t>
  </si>
  <si>
    <t>C025</t>
  </si>
  <si>
    <t>Hugo Mendes</t>
  </si>
  <si>
    <t>hugo@email.pt</t>
  </si>
  <si>
    <t>916444222</t>
  </si>
  <si>
    <t>Google Ads</t>
  </si>
  <si>
    <t>C026</t>
  </si>
  <si>
    <t>Rita Correia</t>
  </si>
  <si>
    <t>rita@email.pt</t>
  </si>
  <si>
    <t>917333111</t>
  </si>
  <si>
    <t>C027</t>
  </si>
  <si>
    <t>José Ferreira</t>
  </si>
  <si>
    <t>jose@email.pt</t>
  </si>
  <si>
    <t>918222333</t>
  </si>
  <si>
    <t>C028</t>
  </si>
  <si>
    <t>Andreia Dias</t>
  </si>
  <si>
    <t>andreia@email.pt</t>
  </si>
  <si>
    <t>Sem telefone</t>
  </si>
  <si>
    <t>C029</t>
  </si>
  <si>
    <t>Miguel Sousa</t>
  </si>
  <si>
    <t>miguel.sousa@email.pt</t>
  </si>
  <si>
    <t>919111444</t>
  </si>
  <si>
    <t>Suspenso</t>
  </si>
  <si>
    <t>Marketplace</t>
  </si>
  <si>
    <t>C030</t>
  </si>
  <si>
    <t>Carolina Reis</t>
  </si>
  <si>
    <t>carolina@email.pt</t>
  </si>
  <si>
    <t>912000999</t>
  </si>
  <si>
    <t>C031</t>
  </si>
  <si>
    <t>Daniel Azevedo</t>
  </si>
  <si>
    <t>daniel@email.pt</t>
  </si>
  <si>
    <t>913456780</t>
  </si>
  <si>
    <t>C032</t>
  </si>
  <si>
    <t>Catarina Gomes</t>
  </si>
  <si>
    <t>catarina@email.pt</t>
  </si>
  <si>
    <t>914567891</t>
  </si>
  <si>
    <t>C033</t>
  </si>
  <si>
    <t>Nuno Oliveira</t>
  </si>
  <si>
    <t>Guimarães</t>
  </si>
  <si>
    <t>nuno@email.pt</t>
  </si>
  <si>
    <t>915678902</t>
  </si>
  <si>
    <t>C034</t>
  </si>
  <si>
    <t>Mariana Lopes</t>
  </si>
  <si>
    <t>mariana@email.pt</t>
  </si>
  <si>
    <t>916789013</t>
  </si>
  <si>
    <t>Instagram</t>
  </si>
  <si>
    <t>C035</t>
  </si>
  <si>
    <t>Filipe Santos</t>
  </si>
  <si>
    <t>filipe@email.pt</t>
  </si>
  <si>
    <t>917890124</t>
  </si>
  <si>
    <t>C036</t>
  </si>
  <si>
    <t>Sandra Ribeiro</t>
  </si>
  <si>
    <t>sandra@email.pt</t>
  </si>
  <si>
    <t>Telefone em falta</t>
  </si>
  <si>
    <t>C037</t>
  </si>
  <si>
    <t>João Batista</t>
  </si>
  <si>
    <t>joaob@email.pt</t>
  </si>
  <si>
    <t>919012346</t>
  </si>
  <si>
    <t>C038</t>
  </si>
  <si>
    <t>Vera Cruz</t>
  </si>
  <si>
    <t>vera@email.pt</t>
  </si>
  <si>
    <t>911123457</t>
  </si>
  <si>
    <t>C039</t>
  </si>
  <si>
    <t>Ricardo Matos</t>
  </si>
  <si>
    <t>ricardo.matos@email.pt</t>
  </si>
  <si>
    <t>912234568</t>
  </si>
  <si>
    <t>C040</t>
  </si>
  <si>
    <t>Liliana Pinto</t>
  </si>
  <si>
    <t>liliana@email.pt</t>
  </si>
  <si>
    <t>913345679</t>
  </si>
  <si>
    <t>C041</t>
  </si>
  <si>
    <t>Eduardo Ramos</t>
  </si>
  <si>
    <t>eduardo@email.pt</t>
  </si>
  <si>
    <t>914456780</t>
  </si>
  <si>
    <t>C042</t>
  </si>
  <si>
    <t>Paula Neves</t>
  </si>
  <si>
    <t>paula@email.pt</t>
  </si>
  <si>
    <t>915567891</t>
  </si>
  <si>
    <t>C043</t>
  </si>
  <si>
    <t>Bruno Costa</t>
  </si>
  <si>
    <t>916678902</t>
  </si>
  <si>
    <t>C044</t>
  </si>
  <si>
    <t>Sónia Martins</t>
  </si>
  <si>
    <t>sonia@email.pt</t>
  </si>
  <si>
    <t>917789013</t>
  </si>
  <si>
    <t>C045</t>
  </si>
  <si>
    <t>Miguel Faria</t>
  </si>
  <si>
    <t>miguelf@email.pt</t>
  </si>
  <si>
    <t>918890124</t>
  </si>
  <si>
    <t>C046</t>
  </si>
  <si>
    <t>Patrícia Nunes</t>
  </si>
  <si>
    <t>919901235</t>
  </si>
  <si>
    <t>C047</t>
  </si>
  <si>
    <t>André Lopes</t>
  </si>
  <si>
    <t>911012346</t>
  </si>
  <si>
    <t>C048</t>
  </si>
  <si>
    <t>Carla Fernandes</t>
  </si>
  <si>
    <t>carlaf@email.pt</t>
  </si>
  <si>
    <t>912123457</t>
  </si>
  <si>
    <t>C049</t>
  </si>
  <si>
    <t>José Martins</t>
  </si>
  <si>
    <t>josemartins@email.pt</t>
  </si>
  <si>
    <t>C050</t>
  </si>
  <si>
    <t>Mónica Almeida</t>
  </si>
  <si>
    <t>monica@email.pt</t>
  </si>
  <si>
    <t>914345679</t>
  </si>
  <si>
    <t>C051</t>
  </si>
  <si>
    <t>Rafael Gomes</t>
  </si>
  <si>
    <t>rafael.gomes@email.pt</t>
  </si>
  <si>
    <t>915112233</t>
  </si>
  <si>
    <t>C052</t>
  </si>
  <si>
    <t>Diana Rocha</t>
  </si>
  <si>
    <t>diana@email.pt</t>
  </si>
  <si>
    <t>916223344</t>
  </si>
  <si>
    <t>C053</t>
  </si>
  <si>
    <t>Fernando Sousa</t>
  </si>
  <si>
    <t>fernando@email.pt</t>
  </si>
  <si>
    <t>917334455</t>
  </si>
  <si>
    <t>C054</t>
  </si>
  <si>
    <t>Mafalda Pinto</t>
  </si>
  <si>
    <t>mafalda@email.pt</t>
  </si>
  <si>
    <t>918445566</t>
  </si>
  <si>
    <t>C055</t>
  </si>
  <si>
    <t>Ricardo Ferreira</t>
  </si>
  <si>
    <t>C056</t>
  </si>
  <si>
    <t>Helena Martins</t>
  </si>
  <si>
    <t>911556677</t>
  </si>
  <si>
    <t>C057</t>
  </si>
  <si>
    <t>Pedro Lopes</t>
  </si>
  <si>
    <t>pedro@email.pt</t>
  </si>
  <si>
    <t>912667788</t>
  </si>
  <si>
    <t>C058</t>
  </si>
  <si>
    <t>Sara Almeida</t>
  </si>
  <si>
    <t>913778899</t>
  </si>
  <si>
    <t>C059</t>
  </si>
  <si>
    <t>Miguel Santos</t>
  </si>
  <si>
    <t>914889900</t>
  </si>
  <si>
    <t>C060</t>
  </si>
  <si>
    <t>Joana Cruz</t>
  </si>
  <si>
    <t>joana@email</t>
  </si>
  <si>
    <t>915990011</t>
  </si>
  <si>
    <t>C061</t>
  </si>
  <si>
    <t>Nuno Cardoso</t>
  </si>
  <si>
    <t>916101122</t>
  </si>
  <si>
    <t>C062</t>
  </si>
  <si>
    <t>Carla Ramos</t>
  </si>
  <si>
    <t>carla.ramos@email.pt</t>
  </si>
  <si>
    <t>917212233</t>
  </si>
  <si>
    <t>C063</t>
  </si>
  <si>
    <t>Luís Costa</t>
  </si>
  <si>
    <t>918323344</t>
  </si>
  <si>
    <t>C064</t>
  </si>
  <si>
    <t>Patrícia Dias</t>
  </si>
  <si>
    <t>patricia.dias@email.pt</t>
  </si>
  <si>
    <t>919434455</t>
  </si>
  <si>
    <t>C065</t>
  </si>
  <si>
    <t>André Neves</t>
  </si>
  <si>
    <t>andre.neves@email.pt</t>
  </si>
  <si>
    <t>910545566</t>
  </si>
  <si>
    <t>C066</t>
  </si>
  <si>
    <t>Beatriz Fernandes</t>
  </si>
  <si>
    <t>911656677</t>
  </si>
  <si>
    <t>C067</t>
  </si>
  <si>
    <t>Carlos Silva</t>
  </si>
  <si>
    <t>912767788</t>
  </si>
  <si>
    <t>C068</t>
  </si>
  <si>
    <t>Duplicado C067</t>
  </si>
  <si>
    <t>C069</t>
  </si>
  <si>
    <t>Filipa Gomes</t>
  </si>
  <si>
    <t>filipa.g@email.pt</t>
  </si>
  <si>
    <t>C070</t>
  </si>
  <si>
    <t>Daniel Martins</t>
  </si>
  <si>
    <t>914989900</t>
  </si>
  <si>
    <t>C071</t>
  </si>
  <si>
    <t>João Oliveira</t>
  </si>
  <si>
    <t>joao.oliveira@email.pt</t>
  </si>
  <si>
    <t>915111222</t>
  </si>
  <si>
    <t>C072</t>
  </si>
  <si>
    <t>Marta Rocha</t>
  </si>
  <si>
    <t>916222333</t>
  </si>
  <si>
    <t>C073</t>
  </si>
  <si>
    <t>Paulo Ferreira</t>
  </si>
  <si>
    <t>paulo@email.pt</t>
  </si>
  <si>
    <t>917333444</t>
  </si>
  <si>
    <t>C074</t>
  </si>
  <si>
    <t>Sofia Nunes</t>
  </si>
  <si>
    <t>sofia.n@email.pt</t>
  </si>
  <si>
    <t>918444555</t>
  </si>
  <si>
    <t>C075</t>
  </si>
  <si>
    <t>Ricardo Sousa</t>
  </si>
  <si>
    <t>ricardo.s@email.pt</t>
  </si>
  <si>
    <t>919555666</t>
  </si>
  <si>
    <t>C076</t>
  </si>
  <si>
    <t>Ana Costa</t>
  </si>
  <si>
    <t>ana.costa@email.pt</t>
  </si>
  <si>
    <t>910666777</t>
  </si>
  <si>
    <t>C077</t>
  </si>
  <si>
    <t>Bruno Carvalho</t>
  </si>
  <si>
    <t>bruno.c@email.pt</t>
  </si>
  <si>
    <t>911777888</t>
  </si>
  <si>
    <t>Duplicado C148</t>
  </si>
  <si>
    <t>C078</t>
  </si>
  <si>
    <t>Catarina Ribeiro</t>
  </si>
  <si>
    <t>912888999</t>
  </si>
  <si>
    <t>C079</t>
  </si>
  <si>
    <t>Miguel Pinto</t>
  </si>
  <si>
    <t>miguel.p@email.pt</t>
  </si>
  <si>
    <t>913999000</t>
  </si>
  <si>
    <t>C080</t>
  </si>
  <si>
    <t>C081</t>
  </si>
  <si>
    <t>Andreia Lopes</t>
  </si>
  <si>
    <t>915121314</t>
  </si>
  <si>
    <t>C082</t>
  </si>
  <si>
    <t>Vera Costa</t>
  </si>
  <si>
    <t>916232425</t>
  </si>
  <si>
    <t>C083</t>
  </si>
  <si>
    <t>Rui Martins</t>
  </si>
  <si>
    <t>rui.m@email.pt</t>
  </si>
  <si>
    <t>C084</t>
  </si>
  <si>
    <t>Helena Costa</t>
  </si>
  <si>
    <t>helena.c@email.pt</t>
  </si>
  <si>
    <t>918454647</t>
  </si>
  <si>
    <t>C085</t>
  </si>
  <si>
    <t>José Ramos</t>
  </si>
  <si>
    <t>jose.ramos@email.pt</t>
  </si>
  <si>
    <t>919565758</t>
  </si>
  <si>
    <t>C086</t>
  </si>
  <si>
    <t>Liliana Sousa</t>
  </si>
  <si>
    <t>910676869</t>
  </si>
  <si>
    <t>C087</t>
  </si>
  <si>
    <t>David Gomes</t>
  </si>
  <si>
    <t>911787970</t>
  </si>
  <si>
    <t>C088</t>
  </si>
  <si>
    <t>Teresa Cruz</t>
  </si>
  <si>
    <t>teresa@email.pt</t>
  </si>
  <si>
    <t>912898081</t>
  </si>
  <si>
    <t>C089</t>
  </si>
  <si>
    <t>André Pinto</t>
  </si>
  <si>
    <t>andre.p@email.pt</t>
  </si>
  <si>
    <t>913909192</t>
  </si>
  <si>
    <t>C090</t>
  </si>
  <si>
    <t>Inês Rocha</t>
  </si>
  <si>
    <t>ines.rocha@email</t>
  </si>
  <si>
    <t>914010203</t>
  </si>
  <si>
    <t>C091</t>
  </si>
  <si>
    <t>Pedro Costa</t>
  </si>
  <si>
    <t>pedroc@email.pt</t>
  </si>
  <si>
    <t>C092</t>
  </si>
  <si>
    <t>Duplicado C091</t>
  </si>
  <si>
    <t>C093</t>
  </si>
  <si>
    <t>Mariana Gomes</t>
  </si>
  <si>
    <t>917343536</t>
  </si>
  <si>
    <t>C094</t>
  </si>
  <si>
    <t>Fábio Silva</t>
  </si>
  <si>
    <t>fabio@email.pt</t>
  </si>
  <si>
    <t>9184546478</t>
  </si>
  <si>
    <t>Telefone com 10 dígitos</t>
  </si>
  <si>
    <t>C095</t>
  </si>
  <si>
    <t>Patrícia Neves</t>
  </si>
  <si>
    <t>pat.neves@email.pt</t>
  </si>
  <si>
    <t>C096</t>
  </si>
  <si>
    <t>Carlos Almeida</t>
  </si>
  <si>
    <t>c.almeida@email.pt</t>
  </si>
  <si>
    <t>C097</t>
  </si>
  <si>
    <t>Rita Martins</t>
  </si>
  <si>
    <t>rita.m@email.pt</t>
  </si>
  <si>
    <t>C098</t>
  </si>
  <si>
    <t>Luís Ferreira</t>
  </si>
  <si>
    <t>luisf@email.pt</t>
  </si>
  <si>
    <t>C099</t>
  </si>
  <si>
    <t>Filipa Costa</t>
  </si>
  <si>
    <t>filipa@email.pt</t>
  </si>
  <si>
    <t>C100</t>
  </si>
  <si>
    <t>Tomás Ribeiro</t>
  </si>
  <si>
    <t>tomas@email.pt</t>
  </si>
  <si>
    <t>C101</t>
  </si>
  <si>
    <t>Rita Almeida</t>
  </si>
  <si>
    <t>rita.almeida@email.pt</t>
  </si>
  <si>
    <t>915223344</t>
  </si>
  <si>
    <t>C102</t>
  </si>
  <si>
    <t>Diogo Santos</t>
  </si>
  <si>
    <t>diogo@email.pt</t>
  </si>
  <si>
    <t>916334455</t>
  </si>
  <si>
    <t>C103</t>
  </si>
  <si>
    <t>Mónica Ferreira</t>
  </si>
  <si>
    <t>917445566</t>
  </si>
  <si>
    <t>C104</t>
  </si>
  <si>
    <t>João Cardoso</t>
  </si>
  <si>
    <t>joao.cardoso@email.pt</t>
  </si>
  <si>
    <t>918556677</t>
  </si>
  <si>
    <t>C105</t>
  </si>
  <si>
    <t>Filipa Martins</t>
  </si>
  <si>
    <t>C106</t>
  </si>
  <si>
    <t>Miguel Correia</t>
  </si>
  <si>
    <t>miguel.c@email.pt</t>
  </si>
  <si>
    <t>910667788</t>
  </si>
  <si>
    <t>C107</t>
  </si>
  <si>
    <t>Carla Neves</t>
  </si>
  <si>
    <t>carla@email.pt</t>
  </si>
  <si>
    <t>911778899</t>
  </si>
  <si>
    <t>C108</t>
  </si>
  <si>
    <t>André Ribeiro</t>
  </si>
  <si>
    <t>912889900</t>
  </si>
  <si>
    <t>C109</t>
  </si>
  <si>
    <t>913990011</t>
  </si>
  <si>
    <t>C110</t>
  </si>
  <si>
    <t>David Pinto</t>
  </si>
  <si>
    <t>david@email</t>
  </si>
  <si>
    <t>914101122</t>
  </si>
  <si>
    <t>C111</t>
  </si>
  <si>
    <t>Sofia Ramos</t>
  </si>
  <si>
    <t>sofia.r@email.pt</t>
  </si>
  <si>
    <t>915212233</t>
  </si>
  <si>
    <t>C112</t>
  </si>
  <si>
    <t>Carlos Lopes</t>
  </si>
  <si>
    <t>carlos.l@email.pt</t>
  </si>
  <si>
    <t>916323344</t>
  </si>
  <si>
    <t>C113</t>
  </si>
  <si>
    <t>Bruno Ferreira</t>
  </si>
  <si>
    <t>bruno.ferreira@email.pt</t>
  </si>
  <si>
    <t>917434455</t>
  </si>
  <si>
    <t>C114</t>
  </si>
  <si>
    <t>Mariana Cruz</t>
  </si>
  <si>
    <t>918545566</t>
  </si>
  <si>
    <t>C115</t>
  </si>
  <si>
    <t>Paulo Gomes</t>
  </si>
  <si>
    <t>919656677</t>
  </si>
  <si>
    <t>C116</t>
  </si>
  <si>
    <t>Liliana Costa</t>
  </si>
  <si>
    <t>910767788</t>
  </si>
  <si>
    <t>C117</t>
  </si>
  <si>
    <t>José Nunes</t>
  </si>
  <si>
    <t>josen@email.pt</t>
  </si>
  <si>
    <t>911878899</t>
  </si>
  <si>
    <t>C118</t>
  </si>
  <si>
    <t>Duplicado C117</t>
  </si>
  <si>
    <t>C119</t>
  </si>
  <si>
    <t>Rui Cardoso</t>
  </si>
  <si>
    <t>912989900</t>
  </si>
  <si>
    <t>C120</t>
  </si>
  <si>
    <t>Patrícia Silva</t>
  </si>
  <si>
    <t>C121</t>
  </si>
  <si>
    <t>Inês Rodrigues</t>
  </si>
  <si>
    <t>914111222</t>
  </si>
  <si>
    <t>C122</t>
  </si>
  <si>
    <t>André Martins</t>
  </si>
  <si>
    <t>andre.m@email.pt</t>
  </si>
  <si>
    <t>915222333</t>
  </si>
  <si>
    <t>C123</t>
  </si>
  <si>
    <t>Daniel Costa</t>
  </si>
  <si>
    <t>916333444</t>
  </si>
  <si>
    <t>C124</t>
  </si>
  <si>
    <t>Marta Neves</t>
  </si>
  <si>
    <t>917444555</t>
  </si>
  <si>
    <t>C125</t>
  </si>
  <si>
    <t>Eduardo Pinto</t>
  </si>
  <si>
    <t>918555666</t>
  </si>
  <si>
    <t>C126</t>
  </si>
  <si>
    <t>Beatriz Costa</t>
  </si>
  <si>
    <t>919666777</t>
  </si>
  <si>
    <t>C127</t>
  </si>
  <si>
    <t>Fábio Ferreira</t>
  </si>
  <si>
    <t>910777888</t>
  </si>
  <si>
    <t>C128</t>
  </si>
  <si>
    <t>Sandra Lopes</t>
  </si>
  <si>
    <t>911888999</t>
  </si>
  <si>
    <t>C129</t>
  </si>
  <si>
    <t>C130</t>
  </si>
  <si>
    <t>Ricardo Almeida</t>
  </si>
  <si>
    <t>913000111</t>
  </si>
  <si>
    <t>C131</t>
  </si>
  <si>
    <t>Carolina Gomes</t>
  </si>
  <si>
    <t>914111333</t>
  </si>
  <si>
    <t>C132</t>
  </si>
  <si>
    <t>Duplicado C059</t>
  </si>
  <si>
    <t>C133</t>
  </si>
  <si>
    <t>Ana Sousa</t>
  </si>
  <si>
    <t>ana.sousa@email.pt</t>
  </si>
  <si>
    <t>916333555</t>
  </si>
  <si>
    <t>C134</t>
  </si>
  <si>
    <t>Rafael Costa</t>
  </si>
  <si>
    <t>rafa@email.pt</t>
  </si>
  <si>
    <t>917444666</t>
  </si>
  <si>
    <t>C135</t>
  </si>
  <si>
    <t>Mafalda Ribeiro</t>
  </si>
  <si>
    <t>918555777</t>
  </si>
  <si>
    <t>C136</t>
  </si>
  <si>
    <t>Tomás Oliveira</t>
  </si>
  <si>
    <t>919666888</t>
  </si>
  <si>
    <t>C137</t>
  </si>
  <si>
    <t>Vera Martins</t>
  </si>
  <si>
    <t>910777999</t>
  </si>
  <si>
    <t>C138</t>
  </si>
  <si>
    <t>Catarina Dias</t>
  </si>
  <si>
    <t>C139</t>
  </si>
  <si>
    <t>Carlos Ferreira</t>
  </si>
  <si>
    <t>912999111</t>
  </si>
  <si>
    <t>C140</t>
  </si>
  <si>
    <t>913888222</t>
  </si>
  <si>
    <t>Duplicado C099</t>
  </si>
  <si>
    <t>C141</t>
  </si>
  <si>
    <t>Pedro Almeida</t>
  </si>
  <si>
    <t>914777333</t>
  </si>
  <si>
    <t>C142</t>
  </si>
  <si>
    <t>Helena Sousa</t>
  </si>
  <si>
    <t>915666444</t>
  </si>
  <si>
    <t>C143</t>
  </si>
  <si>
    <t>Diogo Ramos</t>
  </si>
  <si>
    <t>916555555</t>
  </si>
  <si>
    <t>C144</t>
  </si>
  <si>
    <t>Rita Cruz</t>
  </si>
  <si>
    <t>917444444</t>
  </si>
  <si>
    <t>C145</t>
  </si>
  <si>
    <t>Nuno Pinto</t>
  </si>
  <si>
    <t>918333333</t>
  </si>
  <si>
    <t>C146</t>
  </si>
  <si>
    <t>Sónia Neves</t>
  </si>
  <si>
    <t>sonia@email</t>
  </si>
  <si>
    <t>919222222</t>
  </si>
  <si>
    <t>C147</t>
  </si>
  <si>
    <t>Duplicado C006</t>
  </si>
  <si>
    <t>C148</t>
  </si>
  <si>
    <t>911000000</t>
  </si>
  <si>
    <t>C149</t>
  </si>
  <si>
    <t>912123123</t>
  </si>
  <si>
    <t>Duplicado C081</t>
  </si>
  <si>
    <t>C150</t>
  </si>
  <si>
    <t>913234234</t>
  </si>
  <si>
    <t>Duplicado C012</t>
  </si>
  <si>
    <t>ID_Venda</t>
  </si>
  <si>
    <t>Data_Venda</t>
  </si>
  <si>
    <t>Quantidade</t>
  </si>
  <si>
    <t xml:space="preserve">Desconto_% </t>
  </si>
  <si>
    <t>Canal</t>
  </si>
  <si>
    <t>Vendedor</t>
  </si>
  <si>
    <t>Método_Pagamento</t>
  </si>
  <si>
    <t>V0001</t>
  </si>
  <si>
    <t>Ana</t>
  </si>
  <si>
    <t>Concluída</t>
  </si>
  <si>
    <t>Multibanco</t>
  </si>
  <si>
    <t>V0002</t>
  </si>
  <si>
    <t>Carlos</t>
  </si>
  <si>
    <t>Cartão</t>
  </si>
  <si>
    <t>V0003</t>
  </si>
  <si>
    <t>Mbway</t>
  </si>
  <si>
    <t>V0004</t>
  </si>
  <si>
    <t>João</t>
  </si>
  <si>
    <t>V0005</t>
  </si>
  <si>
    <t>Cancelada</t>
  </si>
  <si>
    <t>Dinheiro</t>
  </si>
  <si>
    <t>Cliente desistiu</t>
  </si>
  <si>
    <t>V0006</t>
  </si>
  <si>
    <t>Transferência</t>
  </si>
  <si>
    <t>V0007</t>
  </si>
  <si>
    <t>V0008</t>
  </si>
  <si>
    <t>V0009</t>
  </si>
  <si>
    <t>Ana Silva</t>
  </si>
  <si>
    <t>V0010</t>
  </si>
  <si>
    <t>V0011</t>
  </si>
  <si>
    <t>V0012</t>
  </si>
  <si>
    <t>V0013</t>
  </si>
  <si>
    <t>V0014</t>
  </si>
  <si>
    <t>V0015</t>
  </si>
  <si>
    <t>V0016</t>
  </si>
  <si>
    <t>Devolução</t>
  </si>
  <si>
    <t>V0017</t>
  </si>
  <si>
    <t>V0018</t>
  </si>
  <si>
    <t>V0019</t>
  </si>
  <si>
    <t>Carlos M.</t>
  </si>
  <si>
    <t>V0020</t>
  </si>
  <si>
    <t>V0021</t>
  </si>
  <si>
    <t>V0022</t>
  </si>
  <si>
    <t>V0023</t>
  </si>
  <si>
    <t>V0024</t>
  </si>
  <si>
    <t>V0025</t>
  </si>
  <si>
    <t>V0026</t>
  </si>
  <si>
    <t>V0027</t>
  </si>
  <si>
    <t>V0028</t>
  </si>
  <si>
    <t>Pendente</t>
  </si>
  <si>
    <t>Pagamento pendente</t>
  </si>
  <si>
    <t>V0029</t>
  </si>
  <si>
    <t>V0030</t>
  </si>
  <si>
    <t>ID_Produto corrigido de P030 para P032</t>
  </si>
  <si>
    <t>V0031</t>
  </si>
  <si>
    <t>C999</t>
  </si>
  <si>
    <t xml:space="preserve">cliente C999 inexistente, </t>
  </si>
  <si>
    <t>V0032</t>
  </si>
  <si>
    <t>P999</t>
  </si>
  <si>
    <t>produto P999 inexistente</t>
  </si>
  <si>
    <t>V0033</t>
  </si>
  <si>
    <t>Oferta comercial</t>
  </si>
  <si>
    <t>V0034</t>
  </si>
  <si>
    <t>V0035</t>
  </si>
  <si>
    <t>Possível duplicado</t>
  </si>
  <si>
    <t>V0036</t>
  </si>
  <si>
    <t>Quantidade zero</t>
  </si>
  <si>
    <t>V0037</t>
  </si>
  <si>
    <t>V0038</t>
  </si>
  <si>
    <t>V0039</t>
  </si>
  <si>
    <t>Data não confiavel</t>
  </si>
  <si>
    <t>V0040</t>
  </si>
  <si>
    <t>V0041</t>
  </si>
  <si>
    <t>Patrícia</t>
  </si>
  <si>
    <t>V0042</t>
  </si>
  <si>
    <t>Miguel</t>
  </si>
  <si>
    <t>V0043</t>
  </si>
  <si>
    <t>Rita</t>
  </si>
  <si>
    <t>V0044</t>
  </si>
  <si>
    <t>App</t>
  </si>
  <si>
    <t>V0045</t>
  </si>
  <si>
    <t>V0046</t>
  </si>
  <si>
    <t>V0047</t>
  </si>
  <si>
    <t>V0048</t>
  </si>
  <si>
    <t>Representante</t>
  </si>
  <si>
    <t>V0049</t>
  </si>
  <si>
    <t>V0050</t>
  </si>
  <si>
    <t>V0051</t>
  </si>
  <si>
    <t>V0052</t>
  </si>
  <si>
    <t>V0053</t>
  </si>
  <si>
    <t>V0054</t>
  </si>
  <si>
    <t>V0055</t>
  </si>
  <si>
    <t>V0056</t>
  </si>
  <si>
    <t>V0057</t>
  </si>
  <si>
    <t>V0058</t>
  </si>
  <si>
    <t>V0059</t>
  </si>
  <si>
    <t>V0060</t>
  </si>
  <si>
    <t>V0061</t>
  </si>
  <si>
    <t>V0062</t>
  </si>
  <si>
    <t>V0063</t>
  </si>
  <si>
    <t>V0064</t>
  </si>
  <si>
    <t>V0065</t>
  </si>
  <si>
    <t>V0066</t>
  </si>
  <si>
    <t>V0067</t>
  </si>
  <si>
    <t>V0068</t>
  </si>
  <si>
    <t>V0069</t>
  </si>
  <si>
    <t>V0070</t>
  </si>
  <si>
    <t>V0071</t>
  </si>
  <si>
    <t>V0072</t>
  </si>
  <si>
    <t>V0073</t>
  </si>
  <si>
    <t>V0074</t>
  </si>
  <si>
    <t>V0075</t>
  </si>
  <si>
    <t>V0076</t>
  </si>
  <si>
    <t>V0077</t>
  </si>
  <si>
    <t>V0078</t>
  </si>
  <si>
    <t>V0079</t>
  </si>
  <si>
    <t>V0080</t>
  </si>
  <si>
    <t>V0081</t>
  </si>
  <si>
    <t>Desconto original era 110% (impossível), assumido 0%</t>
  </si>
  <si>
    <t>V0082</t>
  </si>
  <si>
    <t>Desconto original era -5% (impossível), assumido 0%</t>
  </si>
  <si>
    <t>V0083</t>
  </si>
  <si>
    <t>Quantidade (999) impossível face ao stock disponível (44 unidades). Não é possível determinar o valor real. Excluir esta venda dos cálculos de quantidade/faturação na Fase 4.</t>
  </si>
  <si>
    <t>V0084</t>
  </si>
  <si>
    <t>Preço suspeito</t>
  </si>
  <si>
    <t>V0085</t>
  </si>
  <si>
    <t>Devolvida</t>
  </si>
  <si>
    <t>V0086</t>
  </si>
  <si>
    <t>V0087</t>
  </si>
  <si>
    <t>V0088</t>
  </si>
  <si>
    <t>V0089</t>
  </si>
  <si>
    <t>V0090</t>
  </si>
  <si>
    <t>V0091</t>
  </si>
  <si>
    <t>V0092</t>
  </si>
  <si>
    <t>V0093</t>
  </si>
  <si>
    <t>V0094</t>
  </si>
  <si>
    <t>V0095</t>
  </si>
  <si>
    <t>V0096</t>
  </si>
  <si>
    <t>Preço confirmado no catalogo</t>
  </si>
  <si>
    <t>V0097</t>
  </si>
  <si>
    <t>V0098</t>
  </si>
  <si>
    <t>V0099</t>
  </si>
  <si>
    <t>V0100</t>
  </si>
  <si>
    <t>V0101</t>
  </si>
  <si>
    <t>V0102</t>
  </si>
  <si>
    <t>V0103</t>
  </si>
  <si>
    <t>V0104</t>
  </si>
  <si>
    <t>V0105</t>
  </si>
  <si>
    <t>V0106</t>
  </si>
  <si>
    <t>V0107</t>
  </si>
  <si>
    <t>V0108</t>
  </si>
  <si>
    <t>V0109</t>
  </si>
  <si>
    <t>V0110</t>
  </si>
  <si>
    <t>V0111</t>
  </si>
  <si>
    <t>V0112</t>
  </si>
  <si>
    <t>V0113</t>
  </si>
  <si>
    <t>V0114</t>
  </si>
  <si>
    <t>V0115</t>
  </si>
  <si>
    <t>V0116</t>
  </si>
  <si>
    <t>V0117</t>
  </si>
  <si>
    <t>V0118</t>
  </si>
  <si>
    <t>V0119</t>
  </si>
  <si>
    <t>V0120</t>
  </si>
  <si>
    <t>V0121</t>
  </si>
  <si>
    <t>V0122</t>
  </si>
  <si>
    <t>V0123</t>
  </si>
  <si>
    <t>V0124</t>
  </si>
  <si>
    <t>V0125</t>
  </si>
  <si>
    <t>V0126</t>
  </si>
  <si>
    <t>Preço diferente do catálogo</t>
  </si>
  <si>
    <t>V0127</t>
  </si>
  <si>
    <t>V0128</t>
  </si>
  <si>
    <t>Preço alterado</t>
  </si>
  <si>
    <t>V0129</t>
  </si>
  <si>
    <t>V0130</t>
  </si>
  <si>
    <t>V0131</t>
  </si>
  <si>
    <t>V0132</t>
  </si>
  <si>
    <t>V0133</t>
  </si>
  <si>
    <t>V0134</t>
  </si>
  <si>
    <t>V0135</t>
  </si>
  <si>
    <t>V0136</t>
  </si>
  <si>
    <t>V0137</t>
  </si>
  <si>
    <t>V0138</t>
  </si>
  <si>
    <t>V0139</t>
  </si>
  <si>
    <t>Possível venda duplicada</t>
  </si>
  <si>
    <t>V0140</t>
  </si>
  <si>
    <t>V0141</t>
  </si>
  <si>
    <t>Produto com stock negativo</t>
  </si>
  <si>
    <t>V0142</t>
  </si>
  <si>
    <t>V0143</t>
  </si>
  <si>
    <t>V0144</t>
  </si>
  <si>
    <t>V0145</t>
  </si>
  <si>
    <t>V0146</t>
  </si>
  <si>
    <t>V0147</t>
  </si>
  <si>
    <t>V0148</t>
  </si>
  <si>
    <t>V0149</t>
  </si>
  <si>
    <t>V0150</t>
  </si>
  <si>
    <t>Campanha promocional</t>
  </si>
  <si>
    <t>Cliente</t>
  </si>
  <si>
    <t>Desconto_%</t>
  </si>
  <si>
    <t>Valor_Total</t>
  </si>
  <si>
    <t>Nota_Analise</t>
  </si>
  <si>
    <t>Ano</t>
  </si>
  <si>
    <t>Mês Nº</t>
  </si>
  <si>
    <t>Filtro OK</t>
  </si>
  <si>
    <t>Cliente Único Filtrado</t>
  </si>
  <si>
    <t>Venda concluída</t>
  </si>
  <si>
    <t>Venda cancelada</t>
  </si>
  <si>
    <t>Venda pendente</t>
  </si>
  <si>
    <t>Cliente desconhecido</t>
  </si>
  <si>
    <t>Produto desconhecido</t>
  </si>
  <si>
    <t>Venda devolvida</t>
  </si>
  <si>
    <t>Produto mais vendido (em quantidade)</t>
  </si>
  <si>
    <t>Produto com maior faturação</t>
  </si>
  <si>
    <t>Cidade com Maior faturação</t>
  </si>
  <si>
    <t>Canal com melhor desempenho</t>
  </si>
  <si>
    <t>Clientes fiéis (compras repetidas)</t>
  </si>
  <si>
    <t>Percentagem de vendas com desconto e desconto médio</t>
  </si>
  <si>
    <t>Produtos vendidos sistematicamente abaixo do preço de catálogo</t>
  </si>
  <si>
    <t>vendedor com melhor desempenho</t>
  </si>
  <si>
    <t xml:space="preserve">Categoria com maior faturação </t>
  </si>
  <si>
    <t xml:space="preserve">Percentagem de vendas com problemas de qualidade de dados </t>
  </si>
  <si>
    <t>Vendas por mês</t>
  </si>
  <si>
    <t>(Multiple Items)</t>
  </si>
  <si>
    <t>Row Labels</t>
  </si>
  <si>
    <t>Sum of Quantidade</t>
  </si>
  <si>
    <t>Sum of Valor_Total</t>
  </si>
  <si>
    <t>Values</t>
  </si>
  <si>
    <t>Column1</t>
  </si>
  <si>
    <t>Column2</t>
  </si>
  <si>
    <t>Preço Catalogo</t>
  </si>
  <si>
    <t>Preço Vendido</t>
  </si>
  <si>
    <t>% Abaixo</t>
  </si>
  <si>
    <t>Average of Valor_Total</t>
  </si>
  <si>
    <t>Count of ID_Venda</t>
  </si>
  <si>
    <t>Total de vendas válidas:</t>
  </si>
  <si>
    <t>Total de Vendas</t>
  </si>
  <si>
    <t>2026</t>
  </si>
  <si>
    <t>Vendas com desconto:</t>
  </si>
  <si>
    <t>Vendas com problem</t>
  </si>
  <si>
    <t>Jan</t>
  </si>
  <si>
    <t>% de vendas com desconto:</t>
  </si>
  <si>
    <t xml:space="preserve">%de vendas com problemas </t>
  </si>
  <si>
    <t>Feb</t>
  </si>
  <si>
    <t>Desconto médio (só nas que têm desconto):</t>
  </si>
  <si>
    <t>Mar</t>
  </si>
  <si>
    <t>Conclusão:</t>
  </si>
  <si>
    <t>Apr</t>
  </si>
  <si>
    <t>May</t>
  </si>
  <si>
    <t>Grand Total</t>
  </si>
  <si>
    <t xml:space="preserve">  </t>
  </si>
  <si>
    <t>Loja Fisica</t>
  </si>
  <si>
    <t>Outros</t>
  </si>
  <si>
    <t>🛒  TECHMARKET</t>
  </si>
  <si>
    <t>DASHBOARD GERAL</t>
  </si>
  <si>
    <t>Período</t>
  </si>
  <si>
    <t>Mês</t>
  </si>
  <si>
    <t>↻  LIMPAR FILTROS
(selecionar “Todos”)</t>
  </si>
  <si>
    <t>Todos</t>
  </si>
  <si>
    <t>€  FATURAÇÃO</t>
  </si>
  <si>
    <t>▣  NÚMERO DE VENDAS</t>
  </si>
  <si>
    <t>●  NÚMERO DE CLIENTES</t>
  </si>
  <si>
    <t>◆  TICKET MÉDIO</t>
  </si>
  <si>
    <t>%  DESCONTO MÉDIO</t>
  </si>
  <si>
    <t>TOP PRODUTOS MAIS VENDIDOS</t>
  </si>
  <si>
    <t>TOP 5 VENDEDORES</t>
  </si>
  <si>
    <t>Qtd.</t>
  </si>
  <si>
    <t>Faturação</t>
  </si>
  <si>
    <t>Vendas</t>
  </si>
  <si>
    <t>INFORMAÇÕES IMPORTANTES</t>
  </si>
  <si>
    <t>RESUMO DESTAQUES</t>
  </si>
  <si>
    <t>Problemas encontrados</t>
  </si>
  <si>
    <t xml:space="preserve">Produtos: 48 registos duplicados (espaços, maiúsculas e acentos diferentes no nome ou categoria); um registo de teste com data de criação absurda (2099); stock com valores "N/A" nos produtos digitais.
</t>
  </si>
  <si>
    <t>Clientes: 9 casos de clientes duplicados (mesmo nome e email, IDs diferentes), alguns sem qualquer nota no ficheiro original; 10 clientes sem telefone; 5 emails inválidos; um padrão de emails genéricos partilhados por pessoas diferentes, que dificultou a deteção de duplicados reais.</t>
  </si>
  <si>
    <t>Vendas: 5 vendas com preço 100 vezes acima do catálogo; coluna de desconto com formatação incorreta; 2 descontos impossíveis (110% e negativo); 7 produtos vendidos sistematicamente abaixo do preço de catálogo; 2 vendas com ID_Produto trocado; referências inexistentes (1 cliente e 1 produto); 1 venda duplicada; 1 data não confiável; 1 quantidade impossível face ao stock; datas e valores guardados como texto em vez de número.</t>
  </si>
  <si>
    <t>Decisões tomadas</t>
  </si>
  <si>
    <t>Seguiu-se sempre o princípio de nunca apagar dados originais, apenas assinalar e justificar. Duplicados confirmados foram marcados como inativos e ligados ao registo original. Quando não havia evidência suficiente para corrigir um valor com confiança, a venda foi mantida mas excluída dos cálculos das análises relevantes, em vez de ser corrigida ou apagada.</t>
  </si>
  <si>
    <t>Recomendações</t>
  </si>
  <si>
    <t>Normalizar nomes de categorias e produtos no registo</t>
  </si>
  <si>
    <t>Validar formato de email obrigatoriamente</t>
  </si>
  <si>
    <t>Impedir registo de vendas com datas futuras ou produtos de teste</t>
  </si>
  <si>
    <t>Criar validação para impedir descontos fora de 0-100%</t>
  </si>
  <si>
    <t>Impedir vendas de produtos sem stock disponível</t>
  </si>
  <si>
    <t>Rever o processo de exportação de preços do ERP</t>
  </si>
  <si>
    <t>Criar validação de duplicados por nome+email no registo de clientes</t>
  </si>
  <si>
    <t>Informação que faria falta</t>
  </si>
  <si>
    <t>Margem de lucro e custo dos produtos; idade e género dos clientes; tempo de entrega; motivo das devoluções; stock mínimo definido por produto.</t>
  </si>
  <si>
    <t>Nº</t>
  </si>
  <si>
    <t>Pergunta de Negócio</t>
  </si>
  <si>
    <t>Dados necessários</t>
  </si>
  <si>
    <t>Ferramenta</t>
  </si>
  <si>
    <t>Resultado</t>
  </si>
  <si>
    <t>Dashboard?</t>
  </si>
  <si>
    <t>Qual o produto mais vendido?</t>
  </si>
  <si>
    <t>Produto + Quantidade</t>
  </si>
  <si>
    <t>Tabela Dinâmica</t>
  </si>
  <si>
    <t>Ranking de produtos</t>
  </si>
  <si>
    <t>Sim</t>
  </si>
  <si>
    <t>Que cidade tem maior faturação?</t>
  </si>
  <si>
    <t>Cidade + Valor Venda</t>
  </si>
  <si>
    <t>Tabela Dinâmica + Gráfico</t>
  </si>
  <si>
    <t>Comparação por cidade</t>
  </si>
  <si>
    <t>Qual o canal com mais vendas?</t>
  </si>
  <si>
    <t>Canal + Valor Venda</t>
  </si>
  <si>
    <t>Comparação entre canais</t>
  </si>
  <si>
    <t>Existem clientes fiéis (compras repetidas)?</t>
  </si>
  <si>
    <t>Cliente + Nº compras</t>
  </si>
  <si>
    <t>Ranking de clientes</t>
  </si>
  <si>
    <t>Talvez</t>
  </si>
  <si>
    <t>Qual a % de vendas com desconto?</t>
  </si>
  <si>
    <t>Desconto % + Valor Venda</t>
  </si>
  <si>
    <t>% vendas com desconto</t>
  </si>
  <si>
    <t>Existem produtos vendidos abaixo do preço de catálogo?</t>
  </si>
  <si>
    <t>Preço + Preço catálogo</t>
  </si>
  <si>
    <t>Fórmula / PROCX</t>
  </si>
  <si>
    <t>Lista de exceções</t>
  </si>
  <si>
    <t>Não</t>
  </si>
  <si>
    <t>Qual o vendedor com melhor desempenho?</t>
  </si>
  <si>
    <t>Vendedor + Valor Venda</t>
  </si>
  <si>
    <t>Ranking de vendedores</t>
  </si>
  <si>
    <t>Que categoria gera maior faturação?</t>
  </si>
  <si>
    <t>Categoria + Valor Venda</t>
  </si>
  <si>
    <t>Comparação por categoria</t>
  </si>
  <si>
    <t>Qual a % de vendas com problemas de qualidade?</t>
  </si>
  <si>
    <t>Nº erros / Total vendas</t>
  </si>
  <si>
    <t>Fórmula</t>
  </si>
  <si>
    <t>Indicador percentual (KPI)</t>
  </si>
  <si>
    <t>Que produtos têm menor procura?</t>
  </si>
  <si>
    <t>Tabela Dinâmica + Ordenação</t>
  </si>
  <si>
    <t>Produtos de baixa rotação</t>
  </si>
  <si>
    <t>Fev</t>
  </si>
  <si>
    <t>2027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</si>
  <si>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</si>
  <si>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</si>
  <si>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</si>
  <si>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</si>
  <si>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</si>
  <si>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</si>
  <si>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</si>
  <si>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</si>
  <si>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</si>
  <si>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Nº Vendas</t>
  </si>
  <si>
    <t>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</si>
</sst>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\ [$€-816]"/>
    <numFmt numFmtId="165" formatCode="dd/mm/yyyy;@"/>
    <numFmt numFmtId="166" formatCode="0\%"/>
    <numFmt numFmtId="167" formatCode="#,##0.00\ [$€-1];[Red]\-#,##0.00\ [$€-1]"/>
    <numFmt numFmtId="168" formatCode="0.0%"/>
    <numFmt numFmtId="169" formatCode="#,##0.00&quot; €&quot;"/>
  </numFmts>
  <fonts count="24">
    <font>
      <sz val="11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sz val="11"/>
      <color rgb="FF9C0006"/>
      <name val="Aptos Narrow"/>
      <family val="2"/>
      <charset val="1"/>
    </font>
    <font>
      <b/>
      <sz val="11"/>
      <color theme="1"/>
      <name val="Arial"/>
      <family val="2"/>
      <charset val="1"/>
    </font>
    <font>
      <sz val="11"/>
      <color theme="1"/>
      <name val="Arial"/>
      <family val="2"/>
      <charset val="1"/>
    </font>
    <font>
      <b/>
      <sz val="16"/>
      <color rgb="FFFFFFFF"/>
      <name val="Aptos"/>
      <charset val="1"/>
    </font>
    <font>
      <b/>
      <sz val="16"/>
      <color theme="3" tint="9.9887081514938816E-2"/>
      <name val="Arial"/>
      <family val="2"/>
      <charset val="1"/>
    </font>
    <font>
      <b/>
      <sz val="7"/>
      <color rgb="FF23384D"/>
      <name val="Arial"/>
      <family val="2"/>
      <charset val="1"/>
    </font>
    <font>
      <b/>
      <sz val="7"/>
      <color rgb="FF2F75B5"/>
      <name val="Arial"/>
      <family val="2"/>
      <charset val="1"/>
    </font>
    <font>
      <sz val="8"/>
      <color rgb="FF23384D"/>
      <name val="Arial"/>
      <family val="2"/>
      <charset val="1"/>
    </font>
    <font>
      <b/>
      <sz val="7"/>
      <color rgb="FF6B7280"/>
      <name val="Arial"/>
      <family val="2"/>
      <charset val="1"/>
    </font>
    <font>
      <b/>
      <sz val="15"/>
      <color rgb="FF2F75B5"/>
      <name val="Arial"/>
      <family val="2"/>
      <charset val="1"/>
    </font>
    <font>
      <b/>
      <sz val="15"/>
      <color rgb="FF6842A5"/>
      <name val="Arial"/>
      <family val="2"/>
      <charset val="1"/>
    </font>
    <font>
      <b/>
      <sz val="15"/>
      <color rgb="FF3E8E9E"/>
      <name val="Arial"/>
      <family val="2"/>
      <charset val="1"/>
    </font>
    <font>
      <b/>
      <sz val="15"/>
      <color rgb="FFE8892F"/>
      <name val="Arial"/>
      <family val="2"/>
      <charset val="1"/>
    </font>
    <font>
      <b/>
      <sz val="15"/>
      <color rgb="FF2E8B57"/>
      <name val="Arial"/>
      <family val="2"/>
      <charset val="1"/>
    </font>
    <font>
      <b/>
      <sz val="8"/>
      <color rgb="FFFFFFFF"/>
      <name val="Arial"/>
      <family val="2"/>
      <charset val="1"/>
    </font>
    <font>
      <sz val="7"/>
      <color rgb="FF6B7280"/>
      <name val="Arial"/>
      <family val="2"/>
      <charset val="1"/>
    </font>
    <font>
      <sz val="7"/>
      <color rgb="FF23384D"/>
      <name val="Arial"/>
      <family val="2"/>
      <charset val="1"/>
    </font>
    <font>
      <sz val="6.5"/>
      <color rgb="FF6B7280"/>
      <name val="Arial"/>
      <family val="2"/>
      <charset val="1"/>
    </font>
    <font>
      <b/>
      <sz val="7"/>
      <color rgb="FFFFFFFF"/>
      <name val="Arial"/>
      <family val="2"/>
      <charset val="1"/>
    </font>
    <font>
      <b/>
      <sz val="14"/>
      <color theme="1"/>
      <name val="Arial"/>
      <family val="2"/>
      <charset val="1"/>
    </font>
    <font>
      <sz val="11"/>
      <name val="Arial"/>
      <family val="2"/>
      <charset val="1"/>
    </font>
    <font>
      <sz val="11"/>
      <color theme="1"/>
      <name val="Aptos Narrow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FFC7CE"/>
        <bgColor rgb="FFD9D9D9"/>
      </patternFill>
    </fill>
    <fill>
      <patternFill patternType="solid">
        <fgColor rgb="FF173F67"/>
        <bgColor rgb="FF163E64"/>
      </patternFill>
    </fill>
    <fill>
      <patternFill patternType="solid">
        <fgColor rgb="FFDCEAF7"/>
        <bgColor rgb="FFD4DFEA"/>
      </patternFill>
    </fill>
    <fill>
      <patternFill patternType="solid">
        <fgColor rgb="FFF7F9FC"/>
        <bgColor rgb="FFFFFFFF"/>
      </patternFill>
    </fill>
    <fill>
      <patternFill patternType="solid">
        <fgColor rgb="FFFFFFFF"/>
        <bgColor rgb="FFF7F9FC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89999084444715716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rgb="FFD4DFEA"/>
      </bottom>
      <diagonal/>
    </border>
    <border>
      <left style="thin">
        <color rgb="FFD4DFEA"/>
      </left>
      <right style="thin">
        <color rgb="FFD4DFEA"/>
      </right>
      <top style="thin">
        <color rgb="FFD4DFEA"/>
      </top>
      <bottom style="thin">
        <color rgb="FFD4DFEA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23" fillId="0" borderId="0">
      <alignment horizontal="left"/>
    </xf>
    <xf numFmtId="0" fontId="23" fillId="0" borderId="0"/>
    <xf numFmtId="0" fontId="23" fillId="0" borderId="0"/>
    <xf numFmtId="0" fontId="1" fillId="0" borderId="0"/>
    <xf numFmtId="0" fontId="1" fillId="0" borderId="0">
      <alignment horizontal="left"/>
    </xf>
    <xf numFmtId="0" fontId="23" fillId="0" borderId="0"/>
  </cellStyleXfs>
  <cellXfs count="68">
    <xf numFmtId="0" fontId="0" fillId="0" borderId="0" xfId="0"/>
    <xf numFmtId="164" fontId="0" fillId="0" borderId="0" xfId="0" applyNumberFormat="1"/>
    <xf numFmtId="165" fontId="0" fillId="0" borderId="0" xfId="0" applyNumberFormat="1"/>
    <xf numFmtId="9" fontId="0" fillId="0" borderId="0" xfId="0" applyNumberFormat="1"/>
    <xf numFmtId="0" fontId="2" fillId="2" borderId="0" xfId="0" applyFont="1" applyFill="1"/>
    <xf numFmtId="164" fontId="2" fillId="2" borderId="0" xfId="0" applyNumberFormat="1" applyFont="1" applyFill="1"/>
    <xf numFmtId="9" fontId="2" fillId="2" borderId="0" xfId="0" applyNumberFormat="1" applyFont="1" applyFill="1"/>
    <xf numFmtId="165" fontId="2" fillId="2" borderId="0" xfId="0" applyNumberFormat="1" applyFont="1" applyFill="1"/>
    <xf numFmtId="166" fontId="0" fillId="0" borderId="0" xfId="0" applyNumberFormat="1"/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167" fontId="0" fillId="0" borderId="0" xfId="0" applyNumberFormat="1"/>
    <xf numFmtId="168" fontId="0" fillId="0" borderId="0" xfId="0" applyNumberFormat="1"/>
    <xf numFmtId="0" fontId="3" fillId="0" borderId="0" xfId="0" applyFont="1" applyAlignment="1">
      <alignment vertical="top"/>
    </xf>
    <xf numFmtId="0" fontId="3" fillId="0" borderId="0" xfId="0" applyFont="1" applyAlignment="1">
      <alignment horizontal="center" vertical="top"/>
    </xf>
    <xf numFmtId="0" fontId="4" fillId="0" borderId="0" xfId="0" applyFont="1"/>
    <xf numFmtId="164" fontId="4" fillId="0" borderId="0" xfId="0" applyNumberFormat="1" applyFont="1"/>
    <xf numFmtId="0" fontId="0" fillId="0" borderId="0" xfId="0" applyAlignment="1">
      <alignment vertical="top"/>
    </xf>
    <xf numFmtId="0" fontId="17" fillId="6" borderId="0" xfId="0" applyFont="1" applyFill="1" applyAlignment="1">
      <alignment vertical="top" wrapText="1"/>
    </xf>
    <xf numFmtId="0" fontId="7" fillId="4" borderId="5" xfId="0" applyFont="1" applyFill="1" applyBorder="1"/>
    <xf numFmtId="0" fontId="18" fillId="0" borderId="5" xfId="0" applyFont="1" applyBorder="1"/>
    <xf numFmtId="169" fontId="18" fillId="0" borderId="5" xfId="0" applyNumberFormat="1" applyFont="1" applyBorder="1"/>
    <xf numFmtId="0" fontId="19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15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3" fillId="7" borderId="14" xfId="0" applyFont="1" applyFill="1" applyBorder="1" applyAlignment="1">
      <alignment horizontal="center" vertical="center" wrapText="1"/>
    </xf>
    <xf numFmtId="0" fontId="1" fillId="7" borderId="16" xfId="0" applyFont="1" applyFill="1" applyBorder="1"/>
    <xf numFmtId="0" fontId="1" fillId="7" borderId="17" xfId="0" applyFont="1" applyFill="1" applyBorder="1"/>
    <xf numFmtId="0" fontId="1" fillId="7" borderId="18" xfId="0" applyFont="1" applyFill="1" applyBorder="1"/>
    <xf numFmtId="0" fontId="21" fillId="8" borderId="6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4" fillId="9" borderId="0" xfId="0" applyFont="1" applyFill="1" applyAlignment="1">
      <alignment horizontal="left" vertical="top" wrapText="1"/>
    </xf>
    <xf numFmtId="0" fontId="4" fillId="9" borderId="0" xfId="0" applyFont="1" applyFill="1" applyAlignment="1">
      <alignment horizontal="left" vertical="center" wrapText="1"/>
    </xf>
    <xf numFmtId="0" fontId="4" fillId="9" borderId="0" xfId="0" applyFont="1" applyFill="1" applyAlignment="1">
      <alignment vertical="top" wrapText="1"/>
    </xf>
    <xf numFmtId="0" fontId="22" fillId="9" borderId="0" xfId="0" applyFont="1" applyFill="1"/>
    <xf numFmtId="0" fontId="22" fillId="9" borderId="0" xfId="0" applyFont="1" applyFill="1" applyAlignment="1">
      <alignment vertical="center"/>
    </xf>
    <xf numFmtId="0" fontId="4" fillId="9" borderId="7" xfId="0" applyFont="1" applyFill="1" applyBorder="1"/>
    <xf numFmtId="0" fontId="4" fillId="9" borderId="8" xfId="0" applyFont="1" applyFill="1" applyBorder="1"/>
    <xf numFmtId="0" fontId="4" fillId="9" borderId="3" xfId="0" applyFont="1" applyFill="1" applyBorder="1"/>
    <xf numFmtId="0" fontId="4" fillId="9" borderId="9" xfId="0" applyFont="1" applyFill="1" applyBorder="1"/>
    <xf numFmtId="0" fontId="4" fillId="9" borderId="1" xfId="0" applyFont="1" applyFill="1" applyBorder="1"/>
    <xf numFmtId="0" fontId="4" fillId="9" borderId="10" xfId="0" applyFont="1" applyFill="1" applyBorder="1"/>
    <xf numFmtId="0" fontId="4" fillId="9" borderId="11" xfId="0" applyFont="1" applyFill="1" applyBorder="1"/>
    <xf numFmtId="0" fontId="4" fillId="9" borderId="12" xfId="0" applyFont="1" applyFill="1" applyBorder="1"/>
    <xf numFmtId="0" fontId="4" fillId="9" borderId="2" xfId="0" applyFont="1" applyFill="1" applyBorder="1"/>
    <xf numFmtId="0" fontId="5" fillId="3" borderId="0" xfId="0" applyFont="1" applyFill="1" applyAlignment="1">
      <alignment horizontal="left" vertical="center"/>
    </xf>
    <xf numFmtId="0" fontId="6" fillId="0" borderId="4" xfId="0" applyFont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/>
    </xf>
    <xf numFmtId="168" fontId="15" fillId="6" borderId="5" xfId="0" applyNumberFormat="1" applyFont="1" applyFill="1" applyBorder="1" applyAlignment="1">
      <alignment horizontal="center" vertical="center"/>
    </xf>
    <xf numFmtId="0" fontId="10" fillId="6" borderId="5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left" vertical="center"/>
    </xf>
    <xf numFmtId="169" fontId="11" fillId="6" borderId="5" xfId="0" applyNumberFormat="1" applyFont="1" applyFill="1" applyBorder="1" applyAlignment="1">
      <alignment horizontal="center" vertical="center"/>
    </xf>
    <xf numFmtId="3" fontId="12" fillId="6" borderId="5" xfId="0" applyNumberFormat="1" applyFont="1" applyFill="1" applyBorder="1" applyAlignment="1">
      <alignment horizontal="center" vertical="center"/>
    </xf>
    <xf numFmtId="3" fontId="13" fillId="6" borderId="5" xfId="0" applyNumberFormat="1" applyFont="1" applyFill="1" applyBorder="1" applyAlignment="1">
      <alignment horizontal="center" vertical="center"/>
    </xf>
    <xf numFmtId="169" fontId="14" fillId="6" borderId="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  <xf numFmtId="0" fontId="20" fillId="3" borderId="0" xfId="0" applyFont="1" applyFill="1" applyAlignment="1"/>
  </cellXfs>
  <cellStyles count="7">
    <cellStyle name="Normal" xfId="0" builtinId="0"/>
    <cellStyle name="Pivot Table Category" xfId="1" xr:uid="{00000000-0005-0000-0000-000006000000}"/>
    <cellStyle name="Pivot Table Corner" xfId="2" xr:uid="{00000000-0005-0000-0000-000007000000}"/>
    <cellStyle name="Pivot Table Field" xfId="3" xr:uid="{00000000-0005-0000-0000-000008000000}"/>
    <cellStyle name="Pivot Table Result" xfId="4" xr:uid="{00000000-0005-0000-0000-000009000000}"/>
    <cellStyle name="Pivot Table Title" xfId="5" xr:uid="{00000000-0005-0000-0000-00000A000000}"/>
    <cellStyle name="Pivot Table Value" xfId="6" xr:uid="{00000000-0005-0000-0000-00000B000000}"/>
  </cellStyles>
  <dxfs count="30">
    <dxf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3" tint="0.89999084444715716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3" tint="0.89999084444715716"/>
        </patternFill>
      </fill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4" tint="0.59999389629810485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theme="3" tint="0.89999084444715716"/>
        </patternFill>
      </fill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4" tint="0.59999389629810485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theme="3" tint="0.89999084444715716"/>
        </patternFill>
      </fill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4" tint="0.59999389629810485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theme="3" tint="0.89999084444715716"/>
        </patternFill>
      </fill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4" tint="0.59999389629810485"/>
        </patternFill>
      </fill>
      <border diagonalUp="0" diagonalDown="0" outline="0">
        <left/>
        <right/>
        <top/>
        <bottom/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165F20"/>
      <rgbColor rgb="FF000080"/>
      <rgbColor rgb="FF459428"/>
      <rgbColor rgb="FF800080"/>
      <rgbColor rgb="FF0B7CA8"/>
      <rgbColor rgb="FFD9D9D9"/>
      <rgbColor rgb="FF8B8B8B"/>
      <rgbColor rgb="FF6CAFDB"/>
      <rgbColor rgb="FF8E2682"/>
      <rgbColor rgb="FFF7F9FC"/>
      <rgbColor rgb="FFDCEAF7"/>
      <rgbColor rgb="FF660066"/>
      <rgbColor rgb="FFFF8080"/>
      <rgbColor rgb="FF156082"/>
      <rgbColor rgb="FFD4DFEA"/>
      <rgbColor rgb="FF000080"/>
      <rgbColor rgb="FFFF00FF"/>
      <rgbColor rgb="FFFFFF00"/>
      <rgbColor rgb="FF00FFFF"/>
      <rgbColor rgb="FF800080"/>
      <rgbColor rgb="FF800000"/>
      <rgbColor rgb="FF0D8CBD"/>
      <rgbColor rgb="FF0000FF"/>
      <rgbColor rgb="FF0F9ED5"/>
      <rgbColor rgb="FFCCFFFF"/>
      <rgbColor rgb="FFCCFFCC"/>
      <rgbColor rgb="FFFFFF99"/>
      <rgbColor rgb="FFAFCEE7"/>
      <rgbColor rgb="FFFF99CC"/>
      <rgbColor rgb="FF3E8E9E"/>
      <rgbColor rgb="FFFFC7CE"/>
      <rgbColor rgb="FF2F75B5"/>
      <rgbColor rgb="FF0E93C7"/>
      <rgbColor rgb="FF99CC00"/>
      <rgbColor rgb="FFFFCC00"/>
      <rgbColor rgb="FFE8892F"/>
      <rgbColor rgb="FFCF642C"/>
      <rgbColor rgb="FF6B7280"/>
      <rgbColor rgb="FF889AAA"/>
      <rgbColor rgb="FF163E64"/>
      <rgbColor rgb="FF2E8B57"/>
      <rgbColor rgb="FF125573"/>
      <rgbColor rgb="FF404040"/>
      <rgbColor rgb="FF595959"/>
      <rgbColor rgb="FF6842A5"/>
      <rgbColor rgb="FF173F67"/>
      <rgbColor rgb="FF23384D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c:style val="2"/>
  <c:pivotSource>
    <c:name>[TechMarket_ProjectoVFinal.xlsm]02_Analises!PivotTable3</c:name>
    <c:fmtId val="0"/>
  </c:pivotSource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US" sz="1400" b="0" u="none" strike="noStrike">
                <a:solidFill>
                  <a:srgbClr val="595959"/>
                </a:solidFill>
                <a:uFillTx/>
                <a:latin typeface="Aptos Narrow"/>
              </a:rPr>
              <a:t>Cidade com Maior faturação</a:t>
            </a:r>
          </a:p>
        </c:rich>
      </c:tx>
      <c:overlay val="0"/>
      <c:spPr>
        <a:noFill/>
        <a:ln w="0">
          <a:noFill/>
        </a:ln>
      </c:sp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152993348115293E-2"/>
          <c:y val="0.18167359921703"/>
          <c:w val="0.86917960088691804"/>
          <c:h val="0.633716662588695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'02_Analises'!$H$5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'02_Analises'!$G$6:$G$17</c:f>
              <c:strCache>
                <c:ptCount val="11"/>
                <c:pt idx="0">
                  <c:v>Lisboa</c:v>
                </c:pt>
                <c:pt idx="1">
                  <c:v>Porto</c:v>
                </c:pt>
                <c:pt idx="2">
                  <c:v>Braga</c:v>
                </c:pt>
                <c:pt idx="3">
                  <c:v>Leiria</c:v>
                </c:pt>
                <c:pt idx="4">
                  <c:v>Coimbra</c:v>
                </c:pt>
                <c:pt idx="5">
                  <c:v>Guimarães</c:v>
                </c:pt>
                <c:pt idx="6">
                  <c:v>Faro</c:v>
                </c:pt>
                <c:pt idx="7">
                  <c:v>Aveiro</c:v>
                </c:pt>
                <c:pt idx="8">
                  <c:v>Viseu</c:v>
                </c:pt>
                <c:pt idx="9">
                  <c:v>Setúbal</c:v>
                </c:pt>
                <c:pt idx="10">
                  <c:v>Évora</c:v>
                </c:pt>
              </c:strCache>
            </c:strRef>
          </c:cat>
          <c:val>
            <c:numRef>
              <c:f>'02_Analises'!$H$6:$H$17</c:f>
              <c:numCache>
                <c:formatCode>#,##0.00\ [$€-816]</c:formatCode>
                <c:ptCount val="11"/>
                <c:pt idx="0">
                  <c:v>12402.500000000002</c:v>
                </c:pt>
                <c:pt idx="1">
                  <c:v>8055.6400000000012</c:v>
                </c:pt>
                <c:pt idx="2">
                  <c:v>5168.83</c:v>
                </c:pt>
                <c:pt idx="3">
                  <c:v>3233</c:v>
                </c:pt>
                <c:pt idx="4">
                  <c:v>3031.1</c:v>
                </c:pt>
                <c:pt idx="5">
                  <c:v>2516</c:v>
                </c:pt>
                <c:pt idx="6">
                  <c:v>2445.6</c:v>
                </c:pt>
                <c:pt idx="7">
                  <c:v>2422.25</c:v>
                </c:pt>
                <c:pt idx="8">
                  <c:v>1932</c:v>
                </c:pt>
                <c:pt idx="9">
                  <c:v>1617.7</c:v>
                </c:pt>
                <c:pt idx="10">
                  <c:v>1201.05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0E-414A-82EA-CC32019CE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979661"/>
        <c:axId val="65246900"/>
      </c:barChart>
      <c:catAx>
        <c:axId val="6097966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900" b="0" u="none" strike="noStrike">
                <a:solidFill>
                  <a:srgbClr val="595959"/>
                </a:solidFill>
                <a:uFillTx/>
                <a:latin typeface="Aptos Narrow"/>
              </a:defRPr>
            </a:pPr>
            <a:endParaRPr lang="en-US"/>
          </a:p>
        </c:txPr>
        <c:crossAx val="65246900"/>
        <c:crosses val="autoZero"/>
        <c:auto val="1"/>
        <c:lblAlgn val="ctr"/>
        <c:lblOffset val="100"/>
        <c:noMultiLvlLbl val="0"/>
      </c:catAx>
      <c:valAx>
        <c:axId val="65246900"/>
        <c:scaling>
          <c:orientation val="minMax"/>
        </c:scaling>
        <c:delete val="1"/>
        <c:axPos val="l"/>
        <c:numFmt formatCode="#,##0.00\ [$€-816]" sourceLinked="1"/>
        <c:majorTickMark val="out"/>
        <c:minorTickMark val="none"/>
        <c:tickLblPos val="nextTo"/>
        <c:crossAx val="60979661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c:style val="2"/>
  <c:pivotSource>
    <c:name>[TechMarket_ProjectoVFinal.xlsm]02_Analises!PivotTable7</c:name>
    <c:fmtId val="0"/>
  </c:pivotSource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US" sz="1400" b="0" u="none" strike="noStrike">
                <a:solidFill>
                  <a:srgbClr val="595959"/>
                </a:solidFill>
                <a:uFillTx/>
                <a:latin typeface="Arial"/>
              </a:rPr>
              <a:t>Categoria com maior faturação </a:t>
            </a:r>
          </a:p>
        </c:rich>
      </c:tx>
      <c:overlay val="0"/>
      <c:spPr>
        <a:noFill/>
        <a:ln w="0">
          <a:noFill/>
        </a:ln>
      </c:sp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'02_Analises'!$AF$5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'02_Analises'!$AE$6:$AE$23</c:f>
              <c:strCache>
                <c:ptCount val="17"/>
                <c:pt idx="0">
                  <c:v>Informática</c:v>
                </c:pt>
                <c:pt idx="1">
                  <c:v>Redes</c:v>
                </c:pt>
                <c:pt idx="2">
                  <c:v>Armazenamento</c:v>
                </c:pt>
                <c:pt idx="3">
                  <c:v>Telecomunicações</c:v>
                </c:pt>
                <c:pt idx="4">
                  <c:v>Periféricos</c:v>
                </c:pt>
                <c:pt idx="5">
                  <c:v>Software</c:v>
                </c:pt>
                <c:pt idx="6">
                  <c:v>Acessórios</c:v>
                </c:pt>
                <c:pt idx="7">
                  <c:v>POS</c:v>
                </c:pt>
                <c:pt idx="8">
                  <c:v>Impressão</c:v>
                </c:pt>
                <c:pt idx="9">
                  <c:v>Imagem</c:v>
                </c:pt>
                <c:pt idx="10">
                  <c:v>Mobiliário</c:v>
                </c:pt>
                <c:pt idx="11">
                  <c:v>Energia</c:v>
                </c:pt>
                <c:pt idx="12">
                  <c:v>Áudio</c:v>
                </c:pt>
                <c:pt idx="13">
                  <c:v>Audio</c:v>
                </c:pt>
                <c:pt idx="14">
                  <c:v>Segurança</c:v>
                </c:pt>
                <c:pt idx="15">
                  <c:v>Impressao</c:v>
                </c:pt>
                <c:pt idx="16">
                  <c:v>Escritório</c:v>
                </c:pt>
              </c:strCache>
            </c:strRef>
          </c:cat>
          <c:val>
            <c:numRef>
              <c:f>'02_Analises'!$AF$6:$AF$23</c:f>
              <c:numCache>
                <c:formatCode>#,##0.00\ [$€-816]</c:formatCode>
                <c:ptCount val="17"/>
                <c:pt idx="0">
                  <c:v>11872.2</c:v>
                </c:pt>
                <c:pt idx="1">
                  <c:v>6662.1</c:v>
                </c:pt>
                <c:pt idx="2">
                  <c:v>4598.2699999999986</c:v>
                </c:pt>
                <c:pt idx="3">
                  <c:v>4555.8500000000004</c:v>
                </c:pt>
                <c:pt idx="4">
                  <c:v>3699.3</c:v>
                </c:pt>
                <c:pt idx="5">
                  <c:v>3050.5499999999997</c:v>
                </c:pt>
                <c:pt idx="6">
                  <c:v>2288</c:v>
                </c:pt>
                <c:pt idx="7">
                  <c:v>2068</c:v>
                </c:pt>
                <c:pt idx="8">
                  <c:v>1215.5</c:v>
                </c:pt>
                <c:pt idx="9">
                  <c:v>1121</c:v>
                </c:pt>
                <c:pt idx="10">
                  <c:v>693.7</c:v>
                </c:pt>
                <c:pt idx="11">
                  <c:v>548</c:v>
                </c:pt>
                <c:pt idx="12">
                  <c:v>517.5</c:v>
                </c:pt>
                <c:pt idx="13">
                  <c:v>400</c:v>
                </c:pt>
                <c:pt idx="14">
                  <c:v>338.2</c:v>
                </c:pt>
                <c:pt idx="15">
                  <c:v>240</c:v>
                </c:pt>
                <c:pt idx="16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6A-4028-80BB-34C3A561D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812652"/>
        <c:axId val="21305290"/>
      </c:barChart>
      <c:catAx>
        <c:axId val="381265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900" b="0" u="none" strike="noStrike">
                <a:solidFill>
                  <a:srgbClr val="595959"/>
                </a:solidFill>
                <a:uFillTx/>
                <a:latin typeface="Aptos Narrow"/>
              </a:defRPr>
            </a:pPr>
            <a:endParaRPr lang="en-US"/>
          </a:p>
        </c:txPr>
        <c:crossAx val="21305290"/>
        <c:crosses val="autoZero"/>
        <c:auto val="1"/>
        <c:lblAlgn val="ctr"/>
        <c:lblOffset val="100"/>
        <c:noMultiLvlLbl val="0"/>
      </c:catAx>
      <c:valAx>
        <c:axId val="21305290"/>
        <c:scaling>
          <c:orientation val="minMax"/>
        </c:scaling>
        <c:delete val="1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#,##0.00\ [$€-816]" sourceLinked="1"/>
        <c:majorTickMark val="none"/>
        <c:minorTickMark val="none"/>
        <c:tickLblPos val="nextTo"/>
        <c:crossAx val="3812652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c:style val="2"/>
  <c:pivotSource>
    <c:name>[TechMarket_ProjectoVFinal.xlsm]02_Analises!PivotTable8</c:name>
    <c:fmtId val="0"/>
  </c:pivotSource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US" sz="1400" b="0" u="none" strike="noStrike">
                <a:solidFill>
                  <a:srgbClr val="595959"/>
                </a:solidFill>
                <a:uFillTx/>
                <a:latin typeface="Arial"/>
              </a:rPr>
              <a:t>Vendas por mês</a:t>
            </a:r>
          </a:p>
        </c:rich>
      </c:tx>
      <c:overlay val="0"/>
      <c:spPr>
        <a:noFill/>
        <a:ln w="0">
          <a:noFill/>
        </a:ln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'02_Analises'!$AL$5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'02_Analises'!$AK$6:$AK$12</c:f>
              <c:multiLvlStrCache>
                <c:ptCount val="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</c:lvl>
                <c:lvl>
                  <c:pt idx="0">
                    <c:v>2026</c:v>
                  </c:pt>
                </c:lvl>
              </c:multiLvlStrCache>
            </c:multiLvlStrRef>
          </c:cat>
          <c:val>
            <c:numRef>
              <c:f>'02_Analises'!$AL$6:$AL$12</c:f>
              <c:numCache>
                <c:formatCode>#,##0.00\ [$€-816]</c:formatCode>
                <c:ptCount val="5"/>
                <c:pt idx="0">
                  <c:v>7064.69</c:v>
                </c:pt>
                <c:pt idx="1">
                  <c:v>10240.6</c:v>
                </c:pt>
                <c:pt idx="2">
                  <c:v>10229.999999999998</c:v>
                </c:pt>
                <c:pt idx="3">
                  <c:v>10332.650000000001</c:v>
                </c:pt>
                <c:pt idx="4">
                  <c:v>5912.73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36-42BB-8320-CAF18D746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112142"/>
        <c:axId val="24616889"/>
      </c:barChart>
      <c:catAx>
        <c:axId val="3711214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900" b="0" u="none" strike="noStrike">
                <a:solidFill>
                  <a:srgbClr val="595959"/>
                </a:solidFill>
                <a:uFillTx/>
                <a:latin typeface="Aptos Narrow"/>
              </a:defRPr>
            </a:pPr>
            <a:endParaRPr lang="en-US"/>
          </a:p>
        </c:txPr>
        <c:crossAx val="24616889"/>
        <c:crosses val="autoZero"/>
        <c:auto val="1"/>
        <c:lblAlgn val="ctr"/>
        <c:lblOffset val="100"/>
        <c:noMultiLvlLbl val="1"/>
      </c:catAx>
      <c:valAx>
        <c:axId val="24616889"/>
        <c:scaling>
          <c:orientation val="minMax"/>
        </c:scaling>
        <c:delete val="0"/>
        <c:axPos val="l"/>
        <c:numFmt formatCode="#,##0.00\ [$€-816]" sourceLinked="0"/>
        <c:majorTickMark val="none"/>
        <c:minorTickMark val="none"/>
        <c:tickLblPos val="nextTo"/>
        <c:spPr>
          <a:ln w="12600">
            <a:noFill/>
          </a:ln>
        </c:spPr>
        <c:txPr>
          <a:bodyPr/>
          <a:lstStyle/>
          <a:p>
            <a:pPr>
              <a:defRPr sz="900" b="0" u="none" strike="noStrike">
                <a:solidFill>
                  <a:srgbClr val="595959"/>
                </a:solidFill>
                <a:uFillTx/>
                <a:latin typeface="Aptos Narrow"/>
              </a:defRPr>
            </a:pPr>
            <a:endParaRPr lang="en-US"/>
          </a:p>
        </c:txPr>
        <c:crossAx val="37112142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US" sz="1400" b="0" u="none" strike="noStrike">
                <a:solidFill>
                  <a:srgbClr val="595959"/>
                </a:solidFill>
                <a:uFillTx/>
                <a:latin typeface="Aptos Narrow"/>
              </a:rPr>
              <a:t>Top 10 produtos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43313763861709098"/>
          <c:y val="0.19572066159096899"/>
          <c:w val="0.52489671667753901"/>
          <c:h val="0.776975584142819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'02_Analises'!$E$5</c:f>
              <c:strCache>
                <c:ptCount val="1"/>
                <c:pt idx="0">
                  <c:v>Sum of Valor_Total</c:v>
                </c:pt>
              </c:strCache>
            </c:strRef>
          </c:tx>
          <c:spPr>
            <a:solidFill>
              <a:srgbClr val="156082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900" b="0" u="none" strike="noStrike">
                    <a:solidFill>
                      <a:srgbClr val="404040"/>
                    </a:solidFill>
                    <a:uFillTx/>
                    <a:latin typeface="Aptos Narrow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'02_Analises'!$D$6:$D$16</c:f>
              <c:strCache>
                <c:ptCount val="11"/>
                <c:pt idx="0">
                  <c:v>Smartphone X</c:v>
                </c:pt>
                <c:pt idx="1">
                  <c:v>Portátil 15"</c:v>
                </c:pt>
                <c:pt idx="2">
                  <c:v>Monitor Curvo 34"</c:v>
                </c:pt>
                <c:pt idx="3">
                  <c:v>Router Empresarial</c:v>
                </c:pt>
                <c:pt idx="4">
                  <c:v>Firewall Empresarial</c:v>
                </c:pt>
                <c:pt idx="5">
                  <c:v>Switch 24 Portas</c:v>
                </c:pt>
                <c:pt idx="6">
                  <c:v>Switch PoE 24 Portas</c:v>
                </c:pt>
                <c:pt idx="7">
                  <c:v>Monitor 24"</c:v>
                </c:pt>
                <c:pt idx="8">
                  <c:v>Monitor Curvo 34 Pol.</c:v>
                </c:pt>
                <c:pt idx="9">
                  <c:v>Câmara Web 4K</c:v>
                </c:pt>
                <c:pt idx="10">
                  <c:v>SSD 1TB</c:v>
                </c:pt>
              </c:strCache>
            </c:strRef>
          </c:cat>
          <c:val>
            <c:numRef>
              <c:f>'02_Analises'!$E$6:$E$16</c:f>
              <c:numCache>
                <c:formatCode>#,##0.00\ [$€-816]</c:formatCode>
                <c:ptCount val="11"/>
                <c:pt idx="0">
                  <c:v>4555.8500000000004</c:v>
                </c:pt>
                <c:pt idx="1">
                  <c:v>3357.5</c:v>
                </c:pt>
                <c:pt idx="2">
                  <c:v>1592.1</c:v>
                </c:pt>
                <c:pt idx="3">
                  <c:v>1512</c:v>
                </c:pt>
                <c:pt idx="4">
                  <c:v>1248</c:v>
                </c:pt>
                <c:pt idx="5">
                  <c:v>1170</c:v>
                </c:pt>
                <c:pt idx="6">
                  <c:v>1157.0999999999999</c:v>
                </c:pt>
                <c:pt idx="7">
                  <c:v>1090</c:v>
                </c:pt>
                <c:pt idx="8">
                  <c:v>1043.0999999999999</c:v>
                </c:pt>
                <c:pt idx="9">
                  <c:v>846.6</c:v>
                </c:pt>
                <c:pt idx="10">
                  <c:v>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A6-40F9-B887-E52B2524B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6481422"/>
        <c:axId val="20177229"/>
      </c:barChart>
      <c:catAx>
        <c:axId val="4648142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900" b="0" u="none" strike="noStrike">
                <a:solidFill>
                  <a:srgbClr val="595959"/>
                </a:solidFill>
                <a:uFillTx/>
                <a:latin typeface="Aptos Narrow"/>
              </a:defRPr>
            </a:pPr>
            <a:endParaRPr lang="en-US"/>
          </a:p>
        </c:txPr>
        <c:crossAx val="20177229"/>
        <c:crosses val="autoZero"/>
        <c:auto val="1"/>
        <c:lblAlgn val="ctr"/>
        <c:lblOffset val="100"/>
        <c:noMultiLvlLbl val="0"/>
      </c:catAx>
      <c:valAx>
        <c:axId val="20177229"/>
        <c:scaling>
          <c:orientation val="minMax"/>
        </c:scaling>
        <c:delete val="1"/>
        <c:axPos val="b"/>
        <c:numFmt formatCode="#,##0.00\ [$€-816]" sourceLinked="1"/>
        <c:majorTickMark val="none"/>
        <c:minorTickMark val="none"/>
        <c:tickLblPos val="nextTo"/>
        <c:crossAx val="46481422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US" sz="1400" b="0" u="none" strike="noStrike">
                <a:solidFill>
                  <a:srgbClr val="595959"/>
                </a:solidFill>
                <a:uFillTx/>
                <a:latin typeface="Aptos Narrow"/>
              </a:rPr>
              <a:t>Canal com Maior Desempenho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156082"/>
            </a:solidFill>
            <a:ln w="0">
              <a:noFill/>
            </a:ln>
          </c:spPr>
          <c:dPt>
            <c:idx val="0"/>
            <c:bubble3D val="0"/>
            <c:spPr>
              <a:solidFill>
                <a:srgbClr val="0B7CA8"/>
              </a:solidFill>
              <a:ln w="19080">
                <a:solidFill>
                  <a:srgbClr val="FFFFFF"/>
                </a:solidFill>
                <a:round/>
              </a:ln>
            </c:spPr>
            <c:extLst>
              <c:ext xmlns:c16="http://schemas.microsoft.com/office/drawing/2014/chart" uri="{C3380CC4-5D6E-409C-BE32-E72D297353CC}">
                <c16:uniqueId val="{00000001-0A71-4416-9D4A-AE3BD451A70D}"/>
              </c:ext>
            </c:extLst>
          </c:dPt>
          <c:dPt>
            <c:idx val="1"/>
            <c:bubble3D val="0"/>
            <c:spPr>
              <a:solidFill>
                <a:srgbClr val="0E93C7"/>
              </a:solidFill>
              <a:ln w="19080">
                <a:solidFill>
                  <a:srgbClr val="FFFFFF"/>
                </a:solidFill>
                <a:round/>
              </a:ln>
            </c:spPr>
            <c:extLst>
              <c:ext xmlns:c16="http://schemas.microsoft.com/office/drawing/2014/chart" uri="{C3380CC4-5D6E-409C-BE32-E72D297353CC}">
                <c16:uniqueId val="{00000003-0A71-4416-9D4A-AE3BD451A70D}"/>
              </c:ext>
            </c:extLst>
          </c:dPt>
          <c:dPt>
            <c:idx val="2"/>
            <c:bubble3D val="0"/>
            <c:spPr>
              <a:solidFill>
                <a:srgbClr val="6CAFDB"/>
              </a:solidFill>
              <a:ln w="19080">
                <a:solidFill>
                  <a:srgbClr val="FFFFFF"/>
                </a:solidFill>
                <a:round/>
              </a:ln>
            </c:spPr>
            <c:extLst>
              <c:ext xmlns:c16="http://schemas.microsoft.com/office/drawing/2014/chart" uri="{C3380CC4-5D6E-409C-BE32-E72D297353CC}">
                <c16:uniqueId val="{00000005-0A71-4416-9D4A-AE3BD451A70D}"/>
              </c:ext>
            </c:extLst>
          </c:dPt>
          <c:dPt>
            <c:idx val="3"/>
            <c:bubble3D val="0"/>
            <c:spPr>
              <a:solidFill>
                <a:srgbClr val="AFCEE7"/>
              </a:solidFill>
              <a:ln w="19080">
                <a:solidFill>
                  <a:srgbClr val="FFFFFF"/>
                </a:solidFill>
                <a:round/>
              </a:ln>
            </c:spPr>
            <c:extLst>
              <c:ext xmlns:c16="http://schemas.microsoft.com/office/drawing/2014/chart" uri="{C3380CC4-5D6E-409C-BE32-E72D297353CC}">
                <c16:uniqueId val="{00000007-0A71-4416-9D4A-AE3BD451A70D}"/>
              </c:ext>
            </c:extLst>
          </c:dPt>
          <c:dLbls>
            <c:dLbl>
              <c:idx val="0"/>
              <c:spPr/>
              <c:txPr>
                <a:bodyPr wrap="square"/>
                <a:lstStyle/>
                <a:p>
                  <a:pPr>
                    <a:defRPr sz="900" b="0" u="none" strike="noStrike">
                      <a:solidFill>
                        <a:srgbClr val="404040"/>
                      </a:solidFill>
                      <a:uFillTx/>
                      <a:latin typeface="Aptos Narrow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A71-4416-9D4A-AE3BD451A70D}"/>
                </c:ext>
              </c:extLst>
            </c:dLbl>
            <c:dLbl>
              <c:idx val="1"/>
              <c:spPr/>
              <c:txPr>
                <a:bodyPr wrap="square"/>
                <a:lstStyle/>
                <a:p>
                  <a:pPr>
                    <a:defRPr sz="900" b="0" u="none" strike="noStrike">
                      <a:solidFill>
                        <a:srgbClr val="404040"/>
                      </a:solidFill>
                      <a:uFillTx/>
                      <a:latin typeface="Aptos Narrow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71-4416-9D4A-AE3BD451A70D}"/>
                </c:ext>
              </c:extLst>
            </c:dLbl>
            <c:dLbl>
              <c:idx val="2"/>
              <c:spPr/>
              <c:txPr>
                <a:bodyPr wrap="square"/>
                <a:lstStyle/>
                <a:p>
                  <a:pPr>
                    <a:defRPr sz="900" b="0" u="none" strike="noStrike">
                      <a:solidFill>
                        <a:srgbClr val="404040"/>
                      </a:solidFill>
                      <a:uFillTx/>
                      <a:latin typeface="Aptos Narrow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A71-4416-9D4A-AE3BD451A70D}"/>
                </c:ext>
              </c:extLst>
            </c:dLbl>
            <c:dLbl>
              <c:idx val="3"/>
              <c:spPr/>
              <c:txPr>
                <a:bodyPr wrap="square"/>
                <a:lstStyle/>
                <a:p>
                  <a:pPr>
                    <a:defRPr sz="900" b="0" u="none" strike="noStrike">
                      <a:solidFill>
                        <a:srgbClr val="404040"/>
                      </a:solidFill>
                      <a:uFillTx/>
                      <a:latin typeface="Aptos Narrow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71-4416-9D4A-AE3BD451A7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900" b="0" u="none" strike="noStrike">
                    <a:solidFill>
                      <a:srgbClr val="404040"/>
                    </a:solidFill>
                    <a:uFillTx/>
                    <a:latin typeface="Aptos Narrow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'02_Analises'!$K$39:$K$42</c:f>
              <c:strCache>
                <c:ptCount val="4"/>
                <c:pt idx="0">
                  <c:v>Website</c:v>
                </c:pt>
                <c:pt idx="1">
                  <c:v>Marketplace</c:v>
                </c:pt>
                <c:pt idx="2">
                  <c:v>Loja Fisica</c:v>
                </c:pt>
                <c:pt idx="3">
                  <c:v>Outros</c:v>
                </c:pt>
              </c:strCache>
            </c:strRef>
          </c:cat>
          <c:val>
            <c:numRef>
              <c:f>'02_Analises'!$L$39:$L$42</c:f>
              <c:numCache>
                <c:formatCode>#,##0.00\ [$€-816]</c:formatCode>
                <c:ptCount val="4"/>
                <c:pt idx="0">
                  <c:v>25178.39</c:v>
                </c:pt>
                <c:pt idx="1">
                  <c:v>9712.23</c:v>
                </c:pt>
                <c:pt idx="2">
                  <c:v>7331.85</c:v>
                </c:pt>
                <c:pt idx="3">
                  <c:v>3336.2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A71-4416-9D4A-AE3BD451A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900" b="0" u="none" strike="noStrike">
              <a:solidFill>
                <a:srgbClr val="595959"/>
              </a:solidFill>
              <a:uFillTx/>
              <a:latin typeface="Aptos Narrow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US" sz="1600" b="1" u="none" strike="noStrike">
                <a:solidFill>
                  <a:srgbClr val="595959"/>
                </a:solidFill>
                <a:uFillTx/>
                <a:latin typeface="Arial"/>
              </a:rPr>
              <a:t>Faturação por Canal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578313253012101"/>
          <c:y val="0.19018243864024201"/>
          <c:w val="0.40816599732262399"/>
          <c:h val="0.68027300170626104"/>
        </c:manualLayout>
      </c:layout>
      <c:doughnutChart>
        <c:varyColors val="1"/>
        <c:ser>
          <c:idx val="0"/>
          <c:order val="0"/>
          <c:spPr>
            <a:solidFill>
              <a:srgbClr val="156082"/>
            </a:solidFill>
            <a:ln w="0">
              <a:noFill/>
            </a:ln>
          </c:spPr>
          <c:dPt>
            <c:idx val="0"/>
            <c:bubble3D val="0"/>
            <c:spPr>
              <a:solidFill>
                <a:srgbClr val="0B7CA8"/>
              </a:solidFill>
              <a:ln w="19080">
                <a:solidFill>
                  <a:srgbClr val="FFFFFF"/>
                </a:solidFill>
                <a:round/>
              </a:ln>
            </c:spPr>
            <c:extLst>
              <c:ext xmlns:c16="http://schemas.microsoft.com/office/drawing/2014/chart" uri="{C3380CC4-5D6E-409C-BE32-E72D297353CC}">
                <c16:uniqueId val="{00000001-5FFF-4453-A641-206A9ADCA51E}"/>
              </c:ext>
            </c:extLst>
          </c:dPt>
          <c:dPt>
            <c:idx val="1"/>
            <c:bubble3D val="0"/>
            <c:spPr>
              <a:solidFill>
                <a:srgbClr val="0E93C7"/>
              </a:solidFill>
              <a:ln w="19080">
                <a:solidFill>
                  <a:srgbClr val="FFFFFF"/>
                </a:solidFill>
                <a:round/>
              </a:ln>
            </c:spPr>
            <c:extLst>
              <c:ext xmlns:c16="http://schemas.microsoft.com/office/drawing/2014/chart" uri="{C3380CC4-5D6E-409C-BE32-E72D297353CC}">
                <c16:uniqueId val="{00000003-5FFF-4453-A641-206A9ADCA51E}"/>
              </c:ext>
            </c:extLst>
          </c:dPt>
          <c:dPt>
            <c:idx val="2"/>
            <c:bubble3D val="0"/>
            <c:spPr>
              <a:solidFill>
                <a:srgbClr val="6CAFDB"/>
              </a:solidFill>
              <a:ln w="19080">
                <a:solidFill>
                  <a:srgbClr val="FFFFFF"/>
                </a:solidFill>
                <a:round/>
              </a:ln>
            </c:spPr>
            <c:extLst>
              <c:ext xmlns:c16="http://schemas.microsoft.com/office/drawing/2014/chart" uri="{C3380CC4-5D6E-409C-BE32-E72D297353CC}">
                <c16:uniqueId val="{00000005-5FFF-4453-A641-206A9ADCA51E}"/>
              </c:ext>
            </c:extLst>
          </c:dPt>
          <c:dPt>
            <c:idx val="3"/>
            <c:bubble3D val="0"/>
            <c:spPr>
              <a:solidFill>
                <a:srgbClr val="AFCEE7"/>
              </a:solidFill>
              <a:ln w="19080">
                <a:solidFill>
                  <a:srgbClr val="FFFFFF"/>
                </a:solidFill>
                <a:round/>
              </a:ln>
            </c:spPr>
            <c:extLst>
              <c:ext xmlns:c16="http://schemas.microsoft.com/office/drawing/2014/chart" uri="{C3380CC4-5D6E-409C-BE32-E72D297353CC}">
                <c16:uniqueId val="{00000007-5FFF-4453-A641-206A9ADCA51E}"/>
              </c:ext>
            </c:extLst>
          </c:dPt>
          <c:dLbls>
            <c:dLbl>
              <c:idx val="0"/>
              <c:spPr/>
              <c:txPr>
                <a:bodyPr wrap="square"/>
                <a:lstStyle/>
                <a:p>
                  <a:pPr>
                    <a:defRPr sz="900" b="0" u="none" strike="noStrike">
                      <a:solidFill>
                        <a:srgbClr val="404040"/>
                      </a:solidFill>
                      <a:uFillTx/>
                      <a:latin typeface="Aptos Narrow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1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FFF-4453-A641-206A9ADCA51E}"/>
                </c:ext>
              </c:extLst>
            </c:dLbl>
            <c:dLbl>
              <c:idx val="1"/>
              <c:spPr/>
              <c:txPr>
                <a:bodyPr wrap="square"/>
                <a:lstStyle/>
                <a:p>
                  <a:pPr>
                    <a:defRPr sz="900" b="0" u="none" strike="noStrike">
                      <a:solidFill>
                        <a:srgbClr val="404040"/>
                      </a:solidFill>
                      <a:uFillTx/>
                      <a:latin typeface="Aptos Narrow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1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FFF-4453-A641-206A9ADCA51E}"/>
                </c:ext>
              </c:extLst>
            </c:dLbl>
            <c:dLbl>
              <c:idx val="2"/>
              <c:spPr/>
              <c:txPr>
                <a:bodyPr wrap="square"/>
                <a:lstStyle/>
                <a:p>
                  <a:pPr>
                    <a:defRPr sz="900" b="0" u="none" strike="noStrike">
                      <a:solidFill>
                        <a:srgbClr val="404040"/>
                      </a:solidFill>
                      <a:uFillTx/>
                      <a:latin typeface="Aptos Narrow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1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FFF-4453-A641-206A9ADCA51E}"/>
                </c:ext>
              </c:extLst>
            </c:dLbl>
            <c:dLbl>
              <c:idx val="3"/>
              <c:spPr/>
              <c:txPr>
                <a:bodyPr wrap="square"/>
                <a:lstStyle/>
                <a:p>
                  <a:pPr>
                    <a:defRPr sz="900" b="0" u="none" strike="noStrike">
                      <a:solidFill>
                        <a:srgbClr val="404040"/>
                      </a:solidFill>
                      <a:uFillTx/>
                      <a:latin typeface="Aptos Narrow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1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FFF-4453-A641-206A9ADCA5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900" b="0" u="none" strike="noStrike">
                    <a:solidFill>
                      <a:srgbClr val="404040"/>
                    </a:solidFill>
                    <a:uFillTx/>
                    <a:latin typeface="Aptos Narrow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1"/>
            <c:separator>;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'02_Analises'!$K$39:$K$42</c:f>
              <c:strCache>
                <c:ptCount val="4"/>
                <c:pt idx="0">
                  <c:v>Website</c:v>
                </c:pt>
                <c:pt idx="1">
                  <c:v>Marketplace</c:v>
                </c:pt>
                <c:pt idx="2">
                  <c:v>Loja Fisica</c:v>
                </c:pt>
                <c:pt idx="3">
                  <c:v>Outros</c:v>
                </c:pt>
              </c:strCache>
            </c:strRef>
          </c:cat>
          <c:val>
            <c:numRef>
              <c:f>'02_Analises'!$L$39:$L$42</c:f>
              <c:numCache>
                <c:formatCode>#,##0.00\ [$€-816]</c:formatCode>
                <c:ptCount val="4"/>
                <c:pt idx="0">
                  <c:v>25178.39</c:v>
                </c:pt>
                <c:pt idx="1">
                  <c:v>9712.23</c:v>
                </c:pt>
                <c:pt idx="2">
                  <c:v>7331.85</c:v>
                </c:pt>
                <c:pt idx="3">
                  <c:v>3336.2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FF-4453-A641-206A9ADC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900" b="0" u="none" strike="noStrike">
              <a:solidFill>
                <a:srgbClr val="595959"/>
              </a:solidFill>
              <a:uFillTx/>
              <a:latin typeface="Aptos Narrow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US" sz="1800" b="1" u="none" strike="noStrike">
                <a:solidFill>
                  <a:srgbClr val="000000"/>
                </a:solidFill>
                <a:uFillTx/>
                <a:latin typeface="Aptos Narrow"/>
              </a:rPr>
              <a:t>EVOLUÇÃO DA FATURAÇÃO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Aux_Dashboard!$B$1</c:f>
              <c:strCache>
                <c:ptCount val="1"/>
                <c:pt idx="0">
                  <c:v>Faturação</c:v>
                </c:pt>
              </c:strCache>
            </c:strRef>
          </c:tx>
          <c:spPr>
            <a:ln w="38160">
              <a:solidFill>
                <a:srgbClr val="156082"/>
              </a:solidFill>
              <a:round/>
            </a:ln>
          </c:spPr>
          <c:marker>
            <c:symbol val="none"/>
          </c:marker>
          <c:cat>
            <c:strRef>
              <c:f>Aux_Dashboard!$A$2:$A$13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Aux_Dashboard!$B$2:$B$13</c:f>
              <c:numCache>
                <c:formatCode>General</c:formatCode>
                <c:ptCount val="12"/>
                <c:pt idx="0">
                  <c:v>7189.69</c:v>
                </c:pt>
                <c:pt idx="1">
                  <c:v>10000.6</c:v>
                </c:pt>
                <c:pt idx="2">
                  <c:v>9949.9999999999982</c:v>
                </c:pt>
                <c:pt idx="3">
                  <c:v>10173.650000000001</c:v>
                </c:pt>
                <c:pt idx="4">
                  <c:v>5912.73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6D9-46E9-9958-CF54E2E6A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35376157"/>
        <c:axId val="30262100"/>
      </c:lineChart>
      <c:catAx>
        <c:axId val="3537615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Aptos Narrow"/>
              </a:defRPr>
            </a:pPr>
            <a:endParaRPr lang="en-US"/>
          </a:p>
        </c:txPr>
        <c:crossAx val="30262100"/>
        <c:crosses val="autoZero"/>
        <c:auto val="1"/>
        <c:lblAlgn val="ctr"/>
        <c:lblOffset val="100"/>
        <c:noMultiLvlLbl val="0"/>
      </c:catAx>
      <c:valAx>
        <c:axId val="30262100"/>
        <c:scaling>
          <c:orientation val="minMax"/>
        </c:scaling>
        <c:delete val="0"/>
        <c:axPos val="l"/>
        <c:majorGridlines>
          <c:spPr>
            <a:ln w="12600">
              <a:solidFill>
                <a:srgbClr val="8B8B8B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Aptos Narrow"/>
              </a:defRPr>
            </a:pPr>
            <a:endParaRPr lang="en-US"/>
          </a:p>
        </c:txPr>
        <c:crossAx val="35376157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/>
                </a:solidFill>
                <a:uFillTx/>
                <a:latin typeface="Arial"/>
                <a:ea typeface="+mn-ea"/>
                <a:cs typeface="+mn-cs"/>
              </a:defRPr>
            </a:pPr>
            <a:r>
              <a:rPr lang="en-US" sz="1800" b="1" u="none" strike="noStrike">
                <a:solidFill>
                  <a:srgbClr val="000000"/>
                </a:solidFill>
                <a:uFillTx/>
                <a:latin typeface="Aptos Narrow"/>
              </a:rPr>
              <a:t>FATURAÇÃO POR CATEGORIA</a:t>
            </a:r>
          </a:p>
        </c:rich>
      </c:tx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/>
              </a:solidFill>
              <a:uFillTx/>
              <a:latin typeface="Arial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13535193684074"/>
          <c:y val="0.21162128683389314"/>
          <c:w val="0.80953698513207017"/>
          <c:h val="0.6624999007440227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Aux_Dashboard!$F$1</c:f>
              <c:strCache>
                <c:ptCount val="1"/>
                <c:pt idx="0">
                  <c:v>Faturação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47-4202-8BA4-5A47D1B9D0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2700" cap="flat" cmpd="sng" algn="ctr"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Aux_Dashboard!$E$2:$E$19</c15:sqref>
                  </c15:fullRef>
                </c:ext>
              </c:extLst>
              <c:f>(Aux_Dashboard!$E$2:$E$17,Aux_Dashboard!$E$19)</c:f>
              <c:strCache>
                <c:ptCount val="17"/>
                <c:pt idx="0">
                  <c:v>Acessórios</c:v>
                </c:pt>
                <c:pt idx="1">
                  <c:v>Armazenamento</c:v>
                </c:pt>
                <c:pt idx="2">
                  <c:v>Audio</c:v>
                </c:pt>
                <c:pt idx="3">
                  <c:v>Energia</c:v>
                </c:pt>
                <c:pt idx="4">
                  <c:v>Escritório</c:v>
                </c:pt>
                <c:pt idx="5">
                  <c:v>Imagem</c:v>
                </c:pt>
                <c:pt idx="6">
                  <c:v>Impressao</c:v>
                </c:pt>
                <c:pt idx="7">
                  <c:v>Impressão</c:v>
                </c:pt>
                <c:pt idx="8">
                  <c:v>Informática</c:v>
                </c:pt>
                <c:pt idx="9">
                  <c:v>Mobiliário</c:v>
                </c:pt>
                <c:pt idx="10">
                  <c:v>POS</c:v>
                </c:pt>
                <c:pt idx="11">
                  <c:v>Periféricos</c:v>
                </c:pt>
                <c:pt idx="12">
                  <c:v>Redes</c:v>
                </c:pt>
                <c:pt idx="13">
                  <c:v>Segurança</c:v>
                </c:pt>
                <c:pt idx="14">
                  <c:v>Software</c:v>
                </c:pt>
                <c:pt idx="15">
                  <c:v>Telecomunicações</c:v>
                </c:pt>
                <c:pt idx="16">
                  <c:v>Áudio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Aux_Dashboard!$F$2:$F$19</c15:sqref>
                  </c15:fullRef>
                </c:ext>
              </c:extLst>
              <c:f>(Aux_Dashboard!$F$2:$F$17,Aux_Dashboard!$F$19)</c:f>
              <c:numCache>
                <c:formatCode>General</c:formatCode>
                <c:ptCount val="17"/>
                <c:pt idx="0">
                  <c:v>2288</c:v>
                </c:pt>
                <c:pt idx="1">
                  <c:v>4408.2699999999995</c:v>
                </c:pt>
                <c:pt idx="2">
                  <c:v>160</c:v>
                </c:pt>
                <c:pt idx="3">
                  <c:v>458</c:v>
                </c:pt>
                <c:pt idx="4">
                  <c:v>157.5</c:v>
                </c:pt>
                <c:pt idx="5">
                  <c:v>1121</c:v>
                </c:pt>
                <c:pt idx="6">
                  <c:v>240</c:v>
                </c:pt>
                <c:pt idx="7">
                  <c:v>1215.5</c:v>
                </c:pt>
                <c:pt idx="8">
                  <c:v>11872.2</c:v>
                </c:pt>
                <c:pt idx="9">
                  <c:v>693.7</c:v>
                </c:pt>
                <c:pt idx="10">
                  <c:v>2068</c:v>
                </c:pt>
                <c:pt idx="11">
                  <c:v>3579.3</c:v>
                </c:pt>
                <c:pt idx="12">
                  <c:v>6662.1</c:v>
                </c:pt>
                <c:pt idx="13">
                  <c:v>338.2</c:v>
                </c:pt>
                <c:pt idx="14">
                  <c:v>2891.5499999999997</c:v>
                </c:pt>
                <c:pt idx="15">
                  <c:v>4555.8500000000004</c:v>
                </c:pt>
                <c:pt idx="16">
                  <c:v>517.5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5-4294-9CD5-AA6536441E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5499701"/>
        <c:axId val="9747815"/>
      </c:barChart>
      <c:catAx>
        <c:axId val="45499701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12600" cap="flat" cmpd="sng" algn="ctr">
            <a:solidFill>
              <a:srgbClr val="8B8B8B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uFillTx/>
                <a:latin typeface="Aptos Narrow"/>
                <a:ea typeface="+mn-ea"/>
                <a:cs typeface="+mn-cs"/>
              </a:defRPr>
            </a:pPr>
            <a:endParaRPr lang="en-US"/>
          </a:p>
        </c:txPr>
        <c:crossAx val="9747815"/>
        <c:crosses val="autoZero"/>
        <c:auto val="1"/>
        <c:lblAlgn val="ctr"/>
        <c:lblOffset val="100"/>
        <c:noMultiLvlLbl val="0"/>
      </c:catAx>
      <c:valAx>
        <c:axId val="9747815"/>
        <c:scaling>
          <c:orientation val="minMax"/>
        </c:scaling>
        <c:delete val="0"/>
        <c:axPos val="b"/>
        <c:majorGridlines>
          <c:spPr>
            <a:ln w="12600" cap="flat" cmpd="sng" algn="ctr">
              <a:solidFill>
                <a:srgbClr val="8B8B8B"/>
              </a:solidFill>
              <a:prstDash val="solid"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600" cap="flat" cmpd="sng" algn="ctr">
            <a:solidFill>
              <a:srgbClr val="8B8B8B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uFillTx/>
                <a:latin typeface="Aptos Narrow"/>
                <a:ea typeface="+mn-ea"/>
                <a:cs typeface="+mn-cs"/>
              </a:defRPr>
            </a:pPr>
            <a:endParaRPr lang="en-US"/>
          </a:p>
        </c:txPr>
        <c:crossAx val="45499701"/>
        <c:crosses val="autoZero"/>
        <c:crossBetween val="between"/>
      </c:valAx>
      <c:spPr>
        <a:noFill/>
        <a:ln w="0">
          <a:noFill/>
        </a:ln>
        <a:effectLst/>
      </c:spPr>
    </c:plotArea>
    <c:plotVisOnly val="1"/>
    <c:dispBlanksAs val="gap"/>
    <c:showDLblsOverMax val="1"/>
  </c:chart>
  <c:spPr>
    <a:solidFill>
      <a:srgbClr val="FFFFFF"/>
    </a:solidFill>
    <a:ln w="9360" cap="flat" cmpd="sng" algn="ctr">
      <a:solidFill>
        <a:srgbClr val="D9D9D9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/>
                </a:solidFill>
                <a:uFillTx/>
                <a:latin typeface="Arial"/>
                <a:ea typeface="+mn-ea"/>
                <a:cs typeface="+mn-cs"/>
              </a:defRPr>
            </a:pPr>
            <a:r>
              <a:rPr lang="en-US" sz="1800" b="1" u="none" strike="noStrike">
                <a:solidFill>
                  <a:srgbClr val="000000"/>
                </a:solidFill>
                <a:uFillTx/>
                <a:latin typeface="Aptos Narrow"/>
              </a:rPr>
              <a:t>FATURAÇÃO POR CANAL</a:t>
            </a:r>
          </a:p>
        </c:rich>
      </c:tx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/>
              </a:solidFill>
              <a:uFillTx/>
              <a:latin typeface="Arial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Aux_Dashboard!$I$1</c:f>
              <c:strCache>
                <c:ptCount val="1"/>
                <c:pt idx="0">
                  <c:v>Faturação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shade val="4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1E-42BD-AFB8-A22CBDD1969D}"/>
              </c:ext>
            </c:extLst>
          </c:dPt>
          <c:dPt>
            <c:idx val="1"/>
            <c:bubble3D val="0"/>
            <c:spPr>
              <a:solidFill>
                <a:schemeClr val="accent4">
                  <a:shade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1E-42BD-AFB8-A22CBDD1969D}"/>
              </c:ext>
            </c:extLst>
          </c:dPt>
          <c:dPt>
            <c:idx val="2"/>
            <c:bubble3D val="0"/>
            <c:spPr>
              <a:solidFill>
                <a:schemeClr val="accent4">
                  <a:shade val="82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1E-42BD-AFB8-A22CBDD196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1E-42BD-AFB8-A22CBDD1969D}"/>
              </c:ext>
            </c:extLst>
          </c:dPt>
          <c:dPt>
            <c:idx val="4"/>
            <c:bubble3D val="0"/>
            <c:spPr>
              <a:solidFill>
                <a:schemeClr val="accent4">
                  <a:tint val="83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1E-42BD-AFB8-A22CBDD1969D}"/>
              </c:ext>
            </c:extLst>
          </c:dPt>
          <c:dPt>
            <c:idx val="5"/>
            <c:bubble3D val="0"/>
            <c:spPr>
              <a:solidFill>
                <a:schemeClr val="accent4">
                  <a:tint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1E-42BD-AFB8-A22CBDD1969D}"/>
              </c:ext>
            </c:extLst>
          </c:dPt>
          <c:dPt>
            <c:idx val="6"/>
            <c:bubble3D val="0"/>
            <c:spPr>
              <a:solidFill>
                <a:schemeClr val="accent4">
                  <a:tint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1E-42BD-AFB8-A22CBDD1969D}"/>
              </c:ext>
            </c:extLst>
          </c:dPt>
          <c:dLbls>
            <c:dLbl>
              <c:idx val="0"/>
              <c:layout>
                <c:manualLayout>
                  <c:x val="-4.4742729306487695E-3"/>
                  <c:y val="-0.1361305805498817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21E-42BD-AFB8-A22CBDD1969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1E-42BD-AFB8-A22CBDD1969D}"/>
                </c:ext>
              </c:extLst>
            </c:dLbl>
            <c:dLbl>
              <c:idx val="2"/>
              <c:layout>
                <c:manualLayout>
                  <c:x val="6.9351230425055935E-2"/>
                  <c:y val="-0.1058793404276858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21E-42BD-AFB8-A22CBDD1969D}"/>
                </c:ext>
              </c:extLst>
            </c:dLbl>
            <c:dLbl>
              <c:idx val="3"/>
              <c:layout>
                <c:manualLayout>
                  <c:x val="8.7248322147650922E-2"/>
                  <c:y val="-2.52093667684966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1E-42BD-AFB8-A22CBDD1969D}"/>
                </c:ext>
              </c:extLst>
            </c:dLbl>
            <c:dLbl>
              <c:idx val="4"/>
              <c:layout>
                <c:manualLayout>
                  <c:x val="7.3825503355704702E-2"/>
                  <c:y val="0.1058793404276858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21E-42BD-AFB8-A22CBDD1969D}"/>
                </c:ext>
              </c:extLst>
            </c:dLbl>
            <c:dLbl>
              <c:idx val="5"/>
              <c:layout>
                <c:manualLayout>
                  <c:x val="2.0134228187919462E-2"/>
                  <c:y val="0.1260468338424831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21E-42BD-AFB8-A22CBDD1969D}"/>
                </c:ext>
              </c:extLst>
            </c:dLbl>
            <c:dLbl>
              <c:idx val="6"/>
              <c:layout>
                <c:manualLayout>
                  <c:x val="-0.10514541387024609"/>
                  <c:y val="4.03349868295946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21E-42BD-AFB8-A22CBDD196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12700" cap="flat" cmpd="sng" algn="ctr"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Aux_Dashboard!$H$2:$H$8</c:f>
              <c:strCache>
                <c:ptCount val="7"/>
                <c:pt idx="0">
                  <c:v>App</c:v>
                </c:pt>
                <c:pt idx="1">
                  <c:v>Email</c:v>
                </c:pt>
                <c:pt idx="2">
                  <c:v>Loja Física</c:v>
                </c:pt>
                <c:pt idx="3">
                  <c:v>Marketplace</c:v>
                </c:pt>
                <c:pt idx="4">
                  <c:v>Representante</c:v>
                </c:pt>
                <c:pt idx="5">
                  <c:v>Telefone</c:v>
                </c:pt>
                <c:pt idx="6">
                  <c:v>Website</c:v>
                </c:pt>
              </c:strCache>
            </c:strRef>
          </c:cat>
          <c:val>
            <c:numRef>
              <c:f>Aux_Dashboard!$I$2:$I$8</c:f>
              <c:numCache>
                <c:formatCode>General</c:formatCode>
                <c:ptCount val="7"/>
                <c:pt idx="0">
                  <c:v>566.45000000000005</c:v>
                </c:pt>
                <c:pt idx="1">
                  <c:v>34</c:v>
                </c:pt>
                <c:pt idx="2">
                  <c:v>7121.85</c:v>
                </c:pt>
                <c:pt idx="3">
                  <c:v>9472.23</c:v>
                </c:pt>
                <c:pt idx="4">
                  <c:v>1054.75</c:v>
                </c:pt>
                <c:pt idx="5">
                  <c:v>1681</c:v>
                </c:pt>
                <c:pt idx="6">
                  <c:v>23296.389999999996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21E-42BD-AFB8-A22CBDD1969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 w="0">
          <a:noFill/>
        </a:ln>
        <a:effectLst/>
      </c:spPr>
    </c:plotArea>
    <c:legend>
      <c:legendPos val="r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uFillTx/>
              <a:latin typeface="Aptos Narrow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 cap="flat" cmpd="sng" algn="ctr">
      <a:solidFill>
        <a:srgbClr val="D9D9D9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/>
                </a:solidFill>
                <a:uFillTx/>
                <a:latin typeface="Arial"/>
                <a:ea typeface="+mn-ea"/>
                <a:cs typeface="+mn-cs"/>
              </a:defRPr>
            </a:pPr>
            <a:r>
              <a:rPr lang="en-US" sz="1800" b="1" u="none" strike="noStrike">
                <a:solidFill>
                  <a:srgbClr val="000000"/>
                </a:solidFill>
                <a:uFillTx/>
                <a:latin typeface="Aptos Narrow"/>
              </a:rPr>
              <a:t>N.º DE VENDAS POR MÊS</a:t>
            </a:r>
          </a:p>
        </c:rich>
      </c:tx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/>
              </a:solidFill>
              <a:uFillTx/>
              <a:latin typeface="Arial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Aux_Dashboard!$C$1</c:f>
              <c:strCache>
                <c:ptCount val="1"/>
                <c:pt idx="0">
                  <c:v>Nº Vendas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2700" cap="flat" cmpd="sng" algn="ctr"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Aux_Dashboard!$A$2:$A$13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Aux_Dashboard!$C$2:$C$13</c:f>
              <c:numCache>
                <c:formatCode>General</c:formatCode>
                <c:ptCount val="12"/>
                <c:pt idx="0">
                  <c:v>30</c:v>
                </c:pt>
                <c:pt idx="1">
                  <c:v>25</c:v>
                </c:pt>
                <c:pt idx="2">
                  <c:v>28</c:v>
                </c:pt>
                <c:pt idx="3">
                  <c:v>29</c:v>
                </c:pt>
                <c:pt idx="4">
                  <c:v>28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3E-4596-A692-556C1429253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4513329"/>
        <c:axId val="20976358"/>
      </c:barChart>
      <c:catAx>
        <c:axId val="5451332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600" cap="flat" cmpd="sng" algn="ctr">
            <a:solidFill>
              <a:srgbClr val="8B8B8B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uFillTx/>
                <a:latin typeface="Aptos Narrow"/>
                <a:ea typeface="+mn-ea"/>
                <a:cs typeface="+mn-cs"/>
              </a:defRPr>
            </a:pPr>
            <a:endParaRPr lang="en-US"/>
          </a:p>
        </c:txPr>
        <c:crossAx val="20976358"/>
        <c:crosses val="autoZero"/>
        <c:auto val="1"/>
        <c:lblAlgn val="ctr"/>
        <c:lblOffset val="100"/>
        <c:noMultiLvlLbl val="0"/>
      </c:catAx>
      <c:valAx>
        <c:axId val="20976358"/>
        <c:scaling>
          <c:orientation val="minMax"/>
        </c:scaling>
        <c:delete val="0"/>
        <c:axPos val="l"/>
        <c:majorGridlines>
          <c:spPr>
            <a:ln w="12600" cap="flat" cmpd="sng" algn="ctr">
              <a:solidFill>
                <a:srgbClr val="8B8B8B"/>
              </a:solidFill>
              <a:prstDash val="solid"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600" cap="flat" cmpd="sng" algn="ctr">
            <a:solidFill>
              <a:srgbClr val="8B8B8B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uFillTx/>
                <a:latin typeface="Aptos Narrow"/>
                <a:ea typeface="+mn-ea"/>
                <a:cs typeface="+mn-cs"/>
              </a:defRPr>
            </a:pPr>
            <a:endParaRPr lang="en-US"/>
          </a:p>
        </c:txPr>
        <c:crossAx val="54513329"/>
        <c:crosses val="autoZero"/>
        <c:crossBetween val="between"/>
      </c:valAx>
      <c:spPr>
        <a:noFill/>
        <a:ln w="0">
          <a:noFill/>
        </a:ln>
        <a:effectLst/>
      </c:spPr>
    </c:plotArea>
    <c:plotVisOnly val="1"/>
    <c:dispBlanksAs val="gap"/>
    <c:showDLblsOverMax val="1"/>
  </c:chart>
  <c:spPr>
    <a:solidFill>
      <a:srgbClr val="FFFFFF"/>
    </a:solidFill>
    <a:ln w="9360" cap="flat" cmpd="sng" algn="ctr">
      <a:solidFill>
        <a:srgbClr val="D9D9D9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0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0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0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24</xdr:row>
      <xdr:rowOff>0</xdr:rowOff>
    </xdr:from>
    <xdr:to>
      <xdr:col>9</xdr:col>
      <xdr:colOff>103680</xdr:colOff>
      <xdr:row>39</xdr:row>
      <xdr:rowOff>84600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28</xdr:col>
      <xdr:colOff>1200240</xdr:colOff>
      <xdr:row>31</xdr:row>
      <xdr:rowOff>166680</xdr:rowOff>
    </xdr:from>
    <xdr:to>
      <xdr:col>33</xdr:col>
      <xdr:colOff>8640</xdr:colOff>
      <xdr:row>47</xdr:row>
      <xdr:rowOff>160920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33</xdr:col>
      <xdr:colOff>1485990</xdr:colOff>
      <xdr:row>17</xdr:row>
      <xdr:rowOff>138240</xdr:rowOff>
    </xdr:from>
    <xdr:to>
      <xdr:col>39</xdr:col>
      <xdr:colOff>179835</xdr:colOff>
      <xdr:row>32</xdr:row>
      <xdr:rowOff>23040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81060</xdr:colOff>
      <xdr:row>43</xdr:row>
      <xdr:rowOff>4875</xdr:rowOff>
    </xdr:from>
    <xdr:to>
      <xdr:col>8</xdr:col>
      <xdr:colOff>427800</xdr:colOff>
      <xdr:row>57</xdr:row>
      <xdr:rowOff>80115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600120</xdr:colOff>
      <xdr:row>22</xdr:row>
      <xdr:rowOff>23760</xdr:rowOff>
    </xdr:from>
    <xdr:to>
      <xdr:col>12</xdr:col>
      <xdr:colOff>775080</xdr:colOff>
      <xdr:row>36</xdr:row>
      <xdr:rowOff>99000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8</xdr:col>
      <xdr:colOff>495360</xdr:colOff>
      <xdr:row>42</xdr:row>
      <xdr:rowOff>176040</xdr:rowOff>
    </xdr:from>
    <xdr:to>
      <xdr:col>12</xdr:col>
      <xdr:colOff>1027800</xdr:colOff>
      <xdr:row>57</xdr:row>
      <xdr:rowOff>60840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108</xdr:row>
      <xdr:rowOff>0</xdr:rowOff>
    </xdr:from>
    <xdr:to>
      <xdr:col>1</xdr:col>
      <xdr:colOff>1219200</xdr:colOff>
      <xdr:row>114</xdr:row>
      <xdr:rowOff>9524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3A93BD65-1856-48A8-BBDF-D407A9CB1664}"/>
            </a:ext>
          </a:extLst>
        </xdr:cNvPr>
        <xdr:cNvSpPr txBox="1"/>
      </xdr:nvSpPr>
      <xdr:spPr>
        <a:xfrm>
          <a:off x="0" y="20574000"/>
          <a:ext cx="2800350" cy="11525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>
              <a:latin typeface="Arial" panose="020B0604020202020204" pitchFamily="34" charset="0"/>
              <a:cs typeface="Arial" panose="020B0604020202020204" pitchFamily="34" charset="0"/>
            </a:rPr>
            <a:t>O "Cabo HDMI" foi o produto mais vendido, com 68 unidades no total (35 + 33, juntando as duas variantes duplicadas identificadas na auditoria), excluindo a venda V0083 que tinha uma quantidade de registo inválida.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0</xdr:colOff>
      <xdr:row>108</xdr:row>
      <xdr:rowOff>0</xdr:rowOff>
    </xdr:from>
    <xdr:to>
      <xdr:col>5</xdr:col>
      <xdr:colOff>0</xdr:colOff>
      <xdr:row>110</xdr:row>
      <xdr:rowOff>180975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1A6157C-84E5-4684-8156-8A9EEBAC7A01}"/>
            </a:ext>
          </a:extLst>
        </xdr:cNvPr>
        <xdr:cNvSpPr txBox="1"/>
      </xdr:nvSpPr>
      <xdr:spPr>
        <a:xfrm>
          <a:off x="3114675" y="20574000"/>
          <a:ext cx="2514600" cy="561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>
              <a:latin typeface="Arial" panose="020B0604020202020204" pitchFamily="34" charset="0"/>
              <a:cs typeface="Arial" panose="020B0604020202020204" pitchFamily="34" charset="0"/>
            </a:rPr>
            <a:t>O "Smartphone</a:t>
          </a:r>
          <a:r>
            <a:rPr lang="en-US" baseline="0">
              <a:latin typeface="Arial" panose="020B0604020202020204" pitchFamily="34" charset="0"/>
              <a:cs typeface="Arial" panose="020B0604020202020204" pitchFamily="34" charset="0"/>
            </a:rPr>
            <a:t> X" foi o produto com mais faturação  no valor de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4,555.85 €.</a:t>
          </a:r>
          <a:r>
            <a:rPr lang="en-US">
              <a:effectLst/>
            </a:rPr>
            <a:t> 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8</xdr:col>
      <xdr:colOff>19050</xdr:colOff>
      <xdr:row>21</xdr:row>
      <xdr:rowOff>171450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F10999AB-B411-4695-A0DD-3C116F6B96A2}"/>
            </a:ext>
          </a:extLst>
        </xdr:cNvPr>
        <xdr:cNvSpPr txBox="1"/>
      </xdr:nvSpPr>
      <xdr:spPr>
        <a:xfrm>
          <a:off x="5943600" y="3619500"/>
          <a:ext cx="2105025" cy="552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>
              <a:latin typeface="Arial" panose="020B0604020202020204" pitchFamily="34" charset="0"/>
              <a:cs typeface="Arial" panose="020B0604020202020204" pitchFamily="34" charset="0"/>
            </a:rPr>
            <a:t>A cidade com maior faturação foi</a:t>
          </a:r>
          <a:r>
            <a:rPr lang="en-US" baseline="0">
              <a:latin typeface="Arial" panose="020B0604020202020204" pitchFamily="34" charset="0"/>
              <a:cs typeface="Arial" panose="020B0604020202020204" pitchFamily="34" charset="0"/>
            </a:rPr>
            <a:t> Lisboa com 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12,502.50 €</a:t>
          </a:r>
          <a:r>
            <a:rPr lang="en-US">
              <a:effectLst/>
            </a:rPr>
            <a:t> 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13</xdr:col>
      <xdr:colOff>0</xdr:colOff>
      <xdr:row>19</xdr:row>
      <xdr:rowOff>161925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49EEB5CA-F1BD-4679-923A-F301406E3E21}"/>
            </a:ext>
          </a:extLst>
        </xdr:cNvPr>
        <xdr:cNvSpPr txBox="1"/>
      </xdr:nvSpPr>
      <xdr:spPr>
        <a:xfrm>
          <a:off x="8562975" y="2857500"/>
          <a:ext cx="4705350" cy="923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>
              <a:latin typeface="Arial" panose="020B0604020202020204" pitchFamily="34" charset="0"/>
              <a:cs typeface="Arial" panose="020B0604020202020204" pitchFamily="34" charset="0"/>
            </a:rPr>
            <a:t>O Website é o canal com melhor desempenho global, com 25.957€ de faturação em 81 vendas. O Telefone tem a média mais alta por venda (336€), mas com apenas 5 vendas, não é representativo. O Website destaca-se tanto em volume como em consistência.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0</xdr:colOff>
      <xdr:row>137</xdr:row>
      <xdr:rowOff>0</xdr:rowOff>
    </xdr:from>
    <xdr:to>
      <xdr:col>17</xdr:col>
      <xdr:colOff>9525</xdr:colOff>
      <xdr:row>142</xdr:row>
      <xdr:rowOff>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C5ADB739-6861-4EEF-A305-CDF4CFA0EBD5}"/>
            </a:ext>
          </a:extLst>
        </xdr:cNvPr>
        <xdr:cNvSpPr txBox="1"/>
      </xdr:nvSpPr>
      <xdr:spPr>
        <a:xfrm>
          <a:off x="13477875" y="26098500"/>
          <a:ext cx="3524250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Apenas 13 dos 129 clientes (10%) fizeram mais do que uma compra, o que sugere baixa fidelização. O cliente mais fiel foi João Silva, com 5 compras e 1.578,80€ gastos no total (juntando os registos duplicados identificados na auditoria).</a:t>
          </a:r>
        </a:p>
      </xdr:txBody>
    </xdr:sp>
    <xdr:clientData/>
  </xdr:twoCellAnchor>
  <xdr:twoCellAnchor>
    <xdr:from>
      <xdr:col>18</xdr:col>
      <xdr:colOff>0</xdr:colOff>
      <xdr:row>11</xdr:row>
      <xdr:rowOff>0</xdr:rowOff>
    </xdr:from>
    <xdr:to>
      <xdr:col>20</xdr:col>
      <xdr:colOff>0</xdr:colOff>
      <xdr:row>14</xdr:row>
      <xdr:rowOff>171450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5ACA5C8-34B9-41E5-83A9-677CD32E30A4}"/>
            </a:ext>
          </a:extLst>
        </xdr:cNvPr>
        <xdr:cNvSpPr txBox="1"/>
      </xdr:nvSpPr>
      <xdr:spPr>
        <a:xfrm>
          <a:off x="17183100" y="2095500"/>
          <a:ext cx="3895725" cy="742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>
              <a:latin typeface="Arial" panose="020B0604020202020204" pitchFamily="34" charset="0"/>
              <a:cs typeface="Arial" panose="020B0604020202020204" pitchFamily="34" charset="0"/>
            </a:rPr>
            <a:t>Cerca de 1 em cada 4 vendas (24,8%) teve desconto aplicado. Nas vendas com desconto, o valor médio foi de 15%, sugerindo que quando há desconto, costuma ser significativo e não apenas simbólico.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0</xdr:colOff>
      <xdr:row>15</xdr:row>
      <xdr:rowOff>0</xdr:rowOff>
    </xdr:from>
    <xdr:to>
      <xdr:col>25</xdr:col>
      <xdr:colOff>0</xdr:colOff>
      <xdr:row>18</xdr:row>
      <xdr:rowOff>171450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66698519-9DBF-46A3-9667-49E3AEC38F55}"/>
            </a:ext>
          </a:extLst>
        </xdr:cNvPr>
        <xdr:cNvSpPr txBox="1"/>
      </xdr:nvSpPr>
      <xdr:spPr>
        <a:xfrm>
          <a:off x="21307425" y="2857500"/>
          <a:ext cx="4467225" cy="742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>
              <a:latin typeface="Arial" panose="020B0604020202020204" pitchFamily="34" charset="0"/>
              <a:cs typeface="Arial" panose="020B0604020202020204" pitchFamily="34" charset="0"/>
            </a:rPr>
            <a:t>Identificaram-se 7 produtos vendidos de forma consistente entre 54% e 96% abaixo do preço de catálogo, sem desconto registado. Este padrão sugere uma prática comercial não documentada, e não um erro de dados.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0</xdr:colOff>
      <xdr:row>17</xdr:row>
      <xdr:rowOff>0</xdr:rowOff>
    </xdr:from>
    <xdr:to>
      <xdr:col>28</xdr:col>
      <xdr:colOff>1200149</xdr:colOff>
      <xdr:row>20</xdr:row>
      <xdr:rowOff>171450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D35D1F4B-314E-4503-9368-D906C86F0495}"/>
            </a:ext>
          </a:extLst>
        </xdr:cNvPr>
        <xdr:cNvSpPr txBox="1"/>
      </xdr:nvSpPr>
      <xdr:spPr>
        <a:xfrm>
          <a:off x="26060400" y="3238500"/>
          <a:ext cx="3286124" cy="742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>
              <a:latin typeface="Arial" panose="020B0604020202020204" pitchFamily="34" charset="0"/>
              <a:cs typeface="Arial" panose="020B0604020202020204" pitchFamily="34" charset="0"/>
            </a:rPr>
            <a:t>A Ana lidera em faturação total (10.589,70€, 38 vendas), mas a Rita tem a média mais alta por venda (682,69€, ainda que com poucas vendas). Ana e Carlos destacam-se em volume; Patrícia e Rita em valor médio por venda.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30</xdr:col>
      <xdr:colOff>0</xdr:colOff>
      <xdr:row>25</xdr:row>
      <xdr:rowOff>0</xdr:rowOff>
    </xdr:from>
    <xdr:to>
      <xdr:col>31</xdr:col>
      <xdr:colOff>1181100</xdr:colOff>
      <xdr:row>30</xdr:row>
      <xdr:rowOff>180976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939EB4CD-DCEF-4316-B7F8-AA1008F68880}"/>
            </a:ext>
          </a:extLst>
        </xdr:cNvPr>
        <xdr:cNvSpPr txBox="1"/>
      </xdr:nvSpPr>
      <xdr:spPr>
        <a:xfrm>
          <a:off x="29918025" y="4762500"/>
          <a:ext cx="2371725" cy="11334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>
              <a:latin typeface="Arial" panose="020B0604020202020204" pitchFamily="34" charset="0"/>
              <a:cs typeface="Arial" panose="020B0604020202020204" pitchFamily="34" charset="0"/>
            </a:rPr>
            <a:t>Informática lidera com 11.872,20€, quase o dobro da segunda categoria (Redes). Juntando as categorias duplicadas, o top mantém-se.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33</xdr:col>
      <xdr:colOff>0</xdr:colOff>
      <xdr:row>10</xdr:row>
      <xdr:rowOff>0</xdr:rowOff>
    </xdr:from>
    <xdr:to>
      <xdr:col>34</xdr:col>
      <xdr:colOff>733425</xdr:colOff>
      <xdr:row>15</xdr:row>
      <xdr:rowOff>180976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1ECD55DC-C690-4040-8192-C3F5330C0DEC}"/>
            </a:ext>
          </a:extLst>
        </xdr:cNvPr>
        <xdr:cNvSpPr txBox="1"/>
      </xdr:nvSpPr>
      <xdr:spPr>
        <a:xfrm>
          <a:off x="32870775" y="1905000"/>
          <a:ext cx="2514600" cy="11334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>
              <a:latin typeface="Arial" panose="020B0604020202020204" pitchFamily="34" charset="0"/>
              <a:cs typeface="Arial" panose="020B0604020202020204" pitchFamily="34" charset="0"/>
            </a:rPr>
            <a:t>14,7% das vendas (22 em 150) tinham algum problema de qualidade de dados. A auditoria foi essencial para não distorcer as análises anteriores.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133349</xdr:colOff>
      <xdr:row>10</xdr:row>
      <xdr:rowOff>0</xdr:rowOff>
    </xdr:from>
    <xdr:to>
      <xdr:col>8</xdr:col>
      <xdr:colOff>66674</xdr:colOff>
      <xdr:row>22</xdr:row>
      <xdr:rowOff>118440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714374</xdr:colOff>
      <xdr:row>9</xdr:row>
      <xdr:rowOff>171450</xdr:rowOff>
    </xdr:from>
    <xdr:to>
      <xdr:col>17</xdr:col>
      <xdr:colOff>9525</xdr:colOff>
      <xdr:row>22</xdr:row>
      <xdr:rowOff>89865</xdr:rowOff>
    </xdr:to>
    <xdr:graphicFrame macro="">
      <xdr:nvGraphicFramePr>
        <xdr:cNvPr id="7" name="Chart 2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23</xdr:row>
      <xdr:rowOff>57150</xdr:rowOff>
    </xdr:from>
    <xdr:to>
      <xdr:col>8</xdr:col>
      <xdr:colOff>76200</xdr:colOff>
      <xdr:row>35</xdr:row>
      <xdr:rowOff>175755</xdr:rowOff>
    </xdr:to>
    <xdr:graphicFrame macro="">
      <xdr:nvGraphicFramePr>
        <xdr:cNvPr id="8" name="Chart 3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714375</xdr:colOff>
      <xdr:row>23</xdr:row>
      <xdr:rowOff>28575</xdr:rowOff>
    </xdr:from>
    <xdr:to>
      <xdr:col>16</xdr:col>
      <xdr:colOff>790575</xdr:colOff>
      <xdr:row>35</xdr:row>
      <xdr:rowOff>147180</xdr:rowOff>
    </xdr:to>
    <xdr:graphicFrame macro="">
      <xdr:nvGraphicFramePr>
        <xdr:cNvPr id="9" name="Chart 4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3366"/>
                  </a:solidFill>
                  <a:latin typeface="Arial"/>
                  <a:cs typeface="Arial"/>
                </a:rPr>
                <a:t> LIMPAR FILTROS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3366"/>
                  </a:solidFill>
                  <a:latin typeface="Arial"/>
                  <a:cs typeface="Arial"/>
                </a:rPr>
                <a:t>(selecionar “Todos”)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9525</xdr:colOff>
      <xdr:row>47</xdr:row>
      <xdr:rowOff>19050</xdr:rowOff>
    </xdr:from>
    <xdr:to>
      <xdr:col>4</xdr:col>
      <xdr:colOff>514350</xdr:colOff>
      <xdr:row>52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09F9C7A-56BC-0ECC-A259-C3455C75D6EB}"/>
            </a:ext>
          </a:extLst>
        </xdr:cNvPr>
        <xdr:cNvSpPr txBox="1"/>
      </xdr:nvSpPr>
      <xdr:spPr>
        <a:xfrm>
          <a:off x="142875" y="9763125"/>
          <a:ext cx="2905125" cy="10858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l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Os valores apresentados excluem 5 vendas identificadas como inconsistentes na auditoria (IDs V0031, V0032, V0035, V0083, V0125), por não serem confiáveis para análise.</a:t>
          </a:r>
        </a:p>
      </xdr:txBody>
    </xdr:sp>
    <xdr:clientData/>
  </xdr:twoCellAnchor>
  <xdr:twoCellAnchor>
    <xdr:from>
      <xdr:col>5</xdr:col>
      <xdr:colOff>66675</xdr:colOff>
      <xdr:row>47</xdr:row>
      <xdr:rowOff>19050</xdr:rowOff>
    </xdr:from>
    <xdr:to>
      <xdr:col>10</xdr:col>
      <xdr:colOff>685800</xdr:colOff>
      <xdr:row>52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8F87746-4097-455C-8DD6-C84FC07F213F}"/>
            </a:ext>
          </a:extLst>
        </xdr:cNvPr>
        <xdr:cNvSpPr txBox="1"/>
      </xdr:nvSpPr>
      <xdr:spPr>
        <a:xfrm>
          <a:off x="3400425" y="9763125"/>
          <a:ext cx="4619625" cy="10858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l"/>
          <a:r>
            <a:rPr lang="en-US">
              <a:latin typeface="Arial" panose="020B0604020202020204" pitchFamily="34" charset="0"/>
              <a:cs typeface="Arial" panose="020B0604020202020204" pitchFamily="34" charset="0"/>
            </a:rPr>
            <a:t>✓ Faturação total: 45.558,67€</a:t>
          </a:r>
          <a:br>
            <a:rPr lang="en-US"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en-US">
              <a:latin typeface="Arial" panose="020B0604020202020204" pitchFamily="34" charset="0"/>
              <a:cs typeface="Arial" panose="020B0604020202020204" pitchFamily="34" charset="0"/>
            </a:rPr>
            <a:t>✓ Informática é a categoria líder, com cerca de 26% da faturação</a:t>
          </a:r>
          <a:br>
            <a:rPr lang="en-US"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en-US">
              <a:latin typeface="Arial" panose="020B0604020202020204" pitchFamily="34" charset="0"/>
              <a:cs typeface="Arial" panose="020B0604020202020204" pitchFamily="34" charset="0"/>
            </a:rPr>
            <a:t>✓ Website é o canal mais forte, com cerca de 55% da faturação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</xdr:row>
          <xdr:rowOff>19050</xdr:rowOff>
        </xdr:from>
        <xdr:to>
          <xdr:col>11</xdr:col>
          <xdr:colOff>704850</xdr:colOff>
          <xdr:row>4</xdr:row>
          <xdr:rowOff>238125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ês" refreshedDate="46276.522364583332" createdVersion="3" refreshedVersion="8" recordCount="150" xr:uid="{00000000-000A-0000-FFFF-FFFF01000000}">
  <cacheSource type="worksheet">
    <worksheetSource ref="A1:Q151" sheet="Dados Tratados"/>
  </cacheSource>
  <cacheFields count="20">
    <cacheField name="ID_Venda" numFmtId="0">
      <sharedItems count="150">
        <s v="V0001"/>
        <s v="V0002"/>
        <s v="V0003"/>
        <s v="V0004"/>
        <s v="V0005"/>
        <s v="V0006"/>
        <s v="V0007"/>
        <s v="V0008"/>
        <s v="V0009"/>
        <s v="V0010"/>
        <s v="V0011"/>
        <s v="V0012"/>
        <s v="V0013"/>
        <s v="V0014"/>
        <s v="V0015"/>
        <s v="V0016"/>
        <s v="V0017"/>
        <s v="V0018"/>
        <s v="V0019"/>
        <s v="V0020"/>
        <s v="V0021"/>
        <s v="V0022"/>
        <s v="V0023"/>
        <s v="V0024"/>
        <s v="V0025"/>
        <s v="V0026"/>
        <s v="V0027"/>
        <s v="V0028"/>
        <s v="V0029"/>
        <s v="V0030"/>
        <s v="V0031"/>
        <s v="V0032"/>
        <s v="V0033"/>
        <s v="V0034"/>
        <s v="V0035"/>
        <s v="V0036"/>
        <s v="V0037"/>
        <s v="V0038"/>
        <s v="V0039"/>
        <s v="V0040"/>
        <s v="V0041"/>
        <s v="V0042"/>
        <s v="V0043"/>
        <s v="V0044"/>
        <s v="V0045"/>
        <s v="V0046"/>
        <s v="V0047"/>
        <s v="V0048"/>
        <s v="V0049"/>
        <s v="V0050"/>
        <s v="V0051"/>
        <s v="V0052"/>
        <s v="V0053"/>
        <s v="V0054"/>
        <s v="V0055"/>
        <s v="V0056"/>
        <s v="V0057"/>
        <s v="V0058"/>
        <s v="V0059"/>
        <s v="V0060"/>
        <s v="V0061"/>
        <s v="V0062"/>
        <s v="V0063"/>
        <s v="V0064"/>
        <s v="V0065"/>
        <s v="V0066"/>
        <s v="V0067"/>
        <s v="V0068"/>
        <s v="V0069"/>
        <s v="V0070"/>
        <s v="V0071"/>
        <s v="V0072"/>
        <s v="V0073"/>
        <s v="V0074"/>
        <s v="V0075"/>
        <s v="V0076"/>
        <s v="V0077"/>
        <s v="V0078"/>
        <s v="V0079"/>
        <s v="V0080"/>
        <s v="V0081"/>
        <s v="V0082"/>
        <s v="V0083"/>
        <s v="V0084"/>
        <s v="V0085"/>
        <s v="V0086"/>
        <s v="V0087"/>
        <s v="V0088"/>
        <s v="V0089"/>
        <s v="V0090"/>
        <s v="V0091"/>
        <s v="V0092"/>
        <s v="V0093"/>
        <s v="V0094"/>
        <s v="V0095"/>
        <s v="V0096"/>
        <s v="V0097"/>
        <s v="V0098"/>
        <s v="V0099"/>
        <s v="V0100"/>
        <s v="V0101"/>
        <s v="V0102"/>
        <s v="V0103"/>
        <s v="V0104"/>
        <s v="V0105"/>
        <s v="V0106"/>
        <s v="V0107"/>
        <s v="V0108"/>
        <s v="V0109"/>
        <s v="V0110"/>
        <s v="V0111"/>
        <s v="V0112"/>
        <s v="V0113"/>
        <s v="V0114"/>
        <s v="V0115"/>
        <s v="V0116"/>
        <s v="V0117"/>
        <s v="V0118"/>
        <s v="V0119"/>
        <s v="V0120"/>
        <s v="V0121"/>
        <s v="V0122"/>
        <s v="V0123"/>
        <s v="V0124"/>
        <s v="V0125"/>
        <s v="V0126"/>
        <s v="V0127"/>
        <s v="V0128"/>
        <s v="V0129"/>
        <s v="V0130"/>
        <s v="V0131"/>
        <s v="V0132"/>
        <s v="V0133"/>
        <s v="V0134"/>
        <s v="V0135"/>
        <s v="V0136"/>
        <s v="V0137"/>
        <s v="V0138"/>
        <s v="V0139"/>
        <s v="V0140"/>
        <s v="V0141"/>
        <s v="V0142"/>
        <s v="V0143"/>
        <s v="V0144"/>
        <s v="V0145"/>
        <s v="V0146"/>
        <s v="V0147"/>
        <s v="V0148"/>
        <s v="V0149"/>
        <s v="V0150"/>
      </sharedItems>
    </cacheField>
    <cacheField name="Data_Venda" numFmtId="165">
      <sharedItems containsSemiMixedTypes="0" containsNonDate="0" containsDate="1" containsString="0" minDate="2026-01-02T00:00:00" maxDate="2027-01-16T00:00:00" count="149">
        <d v="2026-01-02T00:00:00"/>
        <d v="2026-01-03T00:00:00"/>
        <d v="2026-01-04T00:00:00"/>
        <d v="2026-01-05T00:00:00"/>
        <d v="2026-01-06T00:00:00"/>
        <d v="2026-01-07T00:00:00"/>
        <d v="2026-01-08T00:00:00"/>
        <d v="2026-01-09T00:00:00"/>
        <d v="2026-01-10T00:00:00"/>
        <d v="2026-01-11T00:00:00"/>
        <d v="2026-01-12T00:00:00"/>
        <d v="2026-01-13T00:00:00"/>
        <d v="2026-01-14T00:00:00"/>
        <d v="2026-01-15T00:00:00"/>
        <d v="2026-01-16T00:00:00"/>
        <d v="2026-01-17T00:00:00"/>
        <d v="2026-01-18T00:00:00"/>
        <d v="2026-01-19T00:00:00"/>
        <d v="2026-01-20T00:00:00"/>
        <d v="2026-01-21T00:00:00"/>
        <d v="2026-01-22T00:00:00"/>
        <d v="2026-01-23T00:00:00"/>
        <d v="2026-01-24T00:00:00"/>
        <d v="2026-01-25T00:00:00"/>
        <d v="2026-01-26T00:00:00"/>
        <d v="2026-01-27T00:00:00"/>
        <d v="2026-01-28T00:00:00"/>
        <d v="2026-01-29T00:00:00"/>
        <d v="2026-01-30T00:00:00"/>
        <d v="2026-01-31T00:00:00"/>
        <d v="2026-02-01T00:00:00"/>
        <d v="2026-02-02T00:00:00"/>
        <d v="2026-02-03T00:00:00"/>
        <d v="2026-02-04T00:00:00"/>
        <d v="2026-02-05T00:00:00"/>
        <d v="2026-02-06T00:00:00"/>
        <d v="2026-02-07T00:00:00"/>
        <d v="2027-01-15T00:00:00"/>
        <d v="2026-02-08T00:00:00"/>
        <d v="2026-02-09T00:00:00"/>
        <d v="2026-02-10T00:00:00"/>
        <d v="2026-02-11T00:00:00"/>
        <d v="2026-02-12T00:00:00"/>
        <d v="2026-02-13T00:00:00"/>
        <d v="2026-02-14T00:00:00"/>
        <d v="2026-02-15T00:00:00"/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</sharedItems>
      <fieldGroup par="19"/>
    </cacheField>
    <cacheField name="ID_Cliente" numFmtId="0">
      <sharedItems/>
    </cacheField>
    <cacheField name="Cliente" numFmtId="0">
      <sharedItems count="132">
        <s v="João Silva"/>
        <s v="Maria Costa"/>
        <s v="Ana Pereira"/>
        <s v="Pedro Santos"/>
        <s v="Sofia Martins"/>
        <s v="Miguel Rocha"/>
        <s v="Carla Sousa"/>
        <s v="Ricardo Lopes"/>
        <s v="Helena Dias"/>
        <s v="Tiago Almeida"/>
        <s v="Patrícia Gomes"/>
        <s v="Rui Fernandes"/>
        <s v="Inês Carvalho"/>
        <s v="Bruno Martins"/>
        <s v="Joana Oliveira"/>
        <s v="Carlos Ribeiro"/>
        <s v="Sara Lopes"/>
        <s v="David Cruz"/>
        <s v="Beatriz Sousa"/>
        <s v="Luís Pinto"/>
        <s v="Marta Silva"/>
        <s v="André Costa"/>
        <s v="Filipa Nunes"/>
        <s v="Hugo Mendes"/>
        <s v="Rita Correia"/>
        <s v="José Ferreira"/>
        <s v="Andreia Dias"/>
        <s v="Miguel Sousa"/>
        <s v="Carolina Reis"/>
        <s v="Cliente desconhecido"/>
        <s v="Daniel Azevedo"/>
        <s v="Catarina Gomes"/>
        <s v="Nuno Oliveira"/>
        <s v="Mariana Lopes"/>
        <s v="Filipe Santos"/>
        <s v="Sandra Ribeiro"/>
        <s v="João Batista"/>
        <s v="Vera Cruz"/>
        <s v="Ricardo Matos"/>
        <s v="Liliana Pinto"/>
        <s v="Eduardo Ramos"/>
        <s v="Paula Neves"/>
        <s v="Bruno Costa"/>
        <s v="Sónia Martins"/>
        <s v="Miguel Faria"/>
        <s v="Patrícia Nunes"/>
        <s v="André Lopes"/>
        <s v="Carla Fernandes"/>
        <s v="José Martins"/>
        <s v="Mónica Almeida"/>
        <s v="Rafael Gomes"/>
        <s v="Diana Rocha"/>
        <s v="Fernando Sousa"/>
        <s v="Mafalda Pinto"/>
        <s v="Ricardo Ferreira"/>
        <s v="Helena Martins"/>
        <s v="Pedro Lopes"/>
        <s v="Sara Almeida"/>
        <s v="Miguel Santos"/>
        <s v="Joana Cruz"/>
        <s v="Nuno Cardoso"/>
        <s v="Carla Ramos"/>
        <s v="Luís Costa"/>
        <s v="Patrícia Dias"/>
        <s v="André Neves"/>
        <s v="Beatriz Fernandes"/>
        <s v="Carlos Silva"/>
        <s v="Filipa Gomes"/>
        <s v="Daniel Martins"/>
        <s v="João Oliveira"/>
        <s v="Marta Rocha"/>
        <s v="Paulo Ferreira"/>
        <s v="Sofia Nunes"/>
        <s v="Ricardo Sousa"/>
        <s v="Ana Costa"/>
        <s v="Bruno Carvalho"/>
        <s v="Catarina Ribeiro"/>
        <s v="Miguel Pinto"/>
        <s v="Andreia Lopes"/>
        <s v="Vera Costa"/>
        <s v="Rui Martins"/>
        <s v="Helena Costa"/>
        <s v="José Ramos"/>
        <s v="Liliana Sousa"/>
        <s v="David Gomes"/>
        <s v="Teresa Cruz"/>
        <s v="André Pinto"/>
        <s v="Inês Rocha"/>
        <s v="Pedro Costa"/>
        <s v="Mariana Gomes"/>
        <s v="Fábio Silva"/>
        <s v="Patrícia Neves"/>
        <s v="Carlos Almeida"/>
        <s v="Rita Martins"/>
        <s v="Luís Ferreira"/>
        <s v="Filipa Costa"/>
        <s v="Tomás Ribeiro"/>
        <s v="Rita Almeida"/>
        <s v="Diogo Santos"/>
        <s v="Mónica Ferreira"/>
        <s v="João Cardoso"/>
        <s v="Filipa Martins"/>
        <s v="Miguel Correia"/>
        <s v="Carla Neves"/>
        <s v="André Ribeiro"/>
        <s v="David Pinto"/>
        <s v="Sofia Ramos"/>
        <s v="Carlos Lopes"/>
        <s v="Bruno Ferreira"/>
        <s v="Mariana Cruz"/>
        <s v="Paulo Gomes"/>
        <s v="Liliana Costa"/>
        <s v="José Nunes"/>
        <s v="Rui Cardoso"/>
        <s v="Patrícia Silva"/>
        <s v="Inês Rodrigues"/>
        <s v="André Martins"/>
        <s v="Daniel Costa"/>
        <s v="Marta Neves"/>
        <s v="Eduardo Pinto"/>
        <s v="Beatriz Costa"/>
        <s v="Fábio Ferreira"/>
        <s v="Sandra Lopes"/>
        <s v="Ricardo Almeida"/>
        <s v="Carolina Gomes"/>
        <s v="Ana Sousa"/>
        <s v="Rafael Costa"/>
        <s v="Mafalda Ribeiro"/>
        <s v="Tomás Oliveira"/>
        <s v="Vera Martins"/>
        <s v="Catarina Dias"/>
        <s v="Carlos Ferreira"/>
      </sharedItems>
    </cacheField>
    <cacheField name="Cidade" numFmtId="0">
      <sharedItems containsBlank="1" count="12">
        <s v="Lisboa"/>
        <s v="Porto"/>
        <s v="Coimbra"/>
        <s v="Braga"/>
        <s v="Aveiro"/>
        <s v="Faro"/>
        <s v="Setúbal"/>
        <s v="Viseu"/>
        <s v="Leiria"/>
        <s v="Évora"/>
        <m/>
        <s v="Guimarães"/>
      </sharedItems>
    </cacheField>
    <cacheField name="ID_Produto" numFmtId="0">
      <sharedItems/>
    </cacheField>
    <cacheField name="Produto" numFmtId="0">
      <sharedItems count="103">
        <s v="Monitor 24&quot;"/>
        <s v="Portátil 15&quot;"/>
        <s v="Rato Ótico"/>
        <s v="Teclado Mecânico"/>
        <s v="Webcam HD"/>
        <s v="SSD 1TB"/>
        <s v="SSD 1 TB"/>
        <s v="Disco SSD 1TB"/>
        <s v="Impressora Laser"/>
        <s v="Tinteiro Preto"/>
        <s v="Router Wi-Fi 6"/>
        <s v="Switch 8 Portas"/>
        <s v="Cabo HDMI 2m"/>
        <s v="Cabo HDMI 2 Metros"/>
        <s v="Pen USB 64GB"/>
        <s v="Pen USB 64 Gb"/>
        <s v="Headset Gaming"/>
        <s v="Colunas Bluetooth"/>
        <s v="Microfone USB"/>
        <s v="Webcam Full HD"/>
        <s v="Notebook A5"/>
        <s v="Cadeira Escritório"/>
        <s v="Secretária 120cm"/>
        <s v="Monitor 27&quot;"/>
        <s v="Monitor 27"/>
        <s v="Monitor 27''"/>
        <s v="Tablet 10&quot;"/>
        <s v="Smartphone X"/>
        <s v="Produto desconhecido"/>
        <s v="Power Bank 20000mAh"/>
        <s v="PowerBank 20000 mAh"/>
        <s v="Carregador USB-C"/>
        <s v="Carregador USB C"/>
        <s v="Hub USB-C"/>
        <s v="Hub USB C"/>
        <s v="Docking Station"/>
        <s v="Dock Station"/>
        <s v="Projetor LED"/>
        <s v="Projector LED"/>
        <s v="Scanner A4"/>
        <s v="Licença Office 365"/>
        <s v="Licença Microsoft 365"/>
        <s v="Antivírus Premium"/>
        <s v="Antivirus Premium"/>
        <s v="Mouse Pad XL"/>
        <s v="Tapete Gaming XL"/>
        <s v="Câmara IP Wi-Fi"/>
        <s v="Camera IP WIFI"/>
        <s v="Disco Externo 2TB"/>
        <s v="Disco Externo 2 TB"/>
        <s v="NAS 2 Baias"/>
        <s v="NAS 2 Bay"/>
        <s v="Router Empresarial"/>
        <s v="Switch 24 Portas"/>
        <s v="Access Point Wi-Fi 6"/>
        <s v="Access Point WIFI6"/>
        <s v="Firewall Empresarial"/>
        <s v="Leitor Código Barras"/>
        <s v="Leitor Cod Barras"/>
        <s v="Impressora Térmica"/>
        <s v="Impressora Termica"/>
        <s v="Monitor Touch 15&quot;"/>
        <s v="Monitor Touch 15 Pol."/>
        <s v="UPS 850VA"/>
        <s v="UPS 850 VA"/>
        <s v="Bateria UPS 850VA"/>
        <s v="Bateria UPS 850 VA"/>
        <s v="Licença Windows 11 Pro"/>
        <s v="Windows 11 Professional"/>
        <s v="Adobe Photoshop 1 Ano"/>
        <s v="Adobe Photoshop Anual"/>
        <s v="Mini PC Intel i5"/>
        <s v="Mini-PC Intel i5"/>
        <s v="Mini PC Core i5"/>
        <s v="Monitor Curvo 34&quot;"/>
        <s v="Monitor Curvo 34 Pol."/>
        <s v="Teclado Wireless"/>
        <s v="Teclado Sem Fios"/>
        <s v="Rato Wireless"/>
        <s v="Mouse Wireless"/>
        <s v="SSD NVMe 2TB"/>
        <s v="SSD NVME 2 TB"/>
        <s v="Servidor NAS 4 Baias"/>
        <s v="Servidor NAS 4 Bay"/>
        <s v="Câmara Web 4K"/>
        <s v="Webcam 4K"/>
        <s v="WebCam Ultra HD"/>
        <s v="Switch PoE 24 Portas"/>
        <s v="AP Wi-Fi Empresarial"/>
        <s v="Access Point Empresarial"/>
        <s v="UPS Online 1500VA"/>
        <s v="UPS Online 1500 VA"/>
        <s v="Licença Windows Server"/>
        <s v="Windows Server Standard"/>
        <s v="Adobe Illustrator"/>
        <s v="Adobe Illustrator 1 Ano"/>
        <s v="Microsoft Project"/>
        <s v="Microsoft Project Pro"/>
        <s v="Tablet Rugged"/>
        <s v="Tablet Rugged Pro"/>
        <s v="Scanner Portátil"/>
        <s v="Scanner Portatil"/>
        <s v="Produto Teste ERP"/>
      </sharedItems>
    </cacheField>
    <cacheField name="Categoria" numFmtId="0">
      <sharedItems containsBlank="1" count="19">
        <s v="Informática"/>
        <s v="Periféricos"/>
        <s v="Armazenamento"/>
        <s v="Impressão"/>
        <s v="Redes"/>
        <s v="Acessórios"/>
        <s v="Audio"/>
        <s v="Áudio"/>
        <s v="Escritório"/>
        <s v="Mobiliário"/>
        <s v="Telecomunicações"/>
        <m/>
        <s v="Imagem"/>
        <s v="Impressao"/>
        <s v="Software"/>
        <s v="Segurança"/>
        <s v="POS"/>
        <s v="Energia"/>
        <s v="Teste"/>
      </sharedItems>
    </cacheField>
    <cacheField name="Quantidade" numFmtId="0">
      <sharedItems containsSemiMixedTypes="0" containsString="0" containsNumber="1" containsInteger="1" minValue="-2" maxValue="999"/>
    </cacheField>
    <cacheField name="Preço_Unitário" numFmtId="164">
      <sharedItems containsSemiMixedTypes="0" containsString="0" containsNumber="1" minValue="4.5" maxValue="850"/>
    </cacheField>
    <cacheField name="Desconto_%" numFmtId="166">
      <sharedItems containsSemiMixedTypes="0" containsString="0" containsNumber="1" containsInteger="1" minValue="0" maxValue="100"/>
    </cacheField>
    <cacheField name="Valor_Total" numFmtId="164">
      <sharedItems containsSemiMixedTypes="0" containsString="0" containsNumber="1" minValue="-30" maxValue="109890"/>
    </cacheField>
    <cacheField name="Vendedor" numFmtId="0">
      <sharedItems count="8">
        <s v="Ana"/>
        <s v="Carlos"/>
        <s v="João"/>
        <s v="Ana Silva"/>
        <s v="Carlos M."/>
        <s v="Patrícia"/>
        <s v="Miguel"/>
        <s v="Rita"/>
      </sharedItems>
    </cacheField>
    <cacheField name="Canal" numFmtId="0">
      <sharedItems count="7">
        <s v="Loja Física"/>
        <s v="Website"/>
        <s v="Marketplace"/>
        <s v="App"/>
        <s v="Telefone"/>
        <s v="Email"/>
        <s v="Representante"/>
      </sharedItems>
    </cacheField>
    <cacheField name="Estado" numFmtId="0">
      <sharedItems/>
    </cacheField>
    <cacheField name="Nota_Analise" numFmtId="0">
      <sharedItems/>
    </cacheField>
    <cacheField name="Observações" numFmtId="0">
      <sharedItems containsBlank="1"/>
    </cacheField>
    <cacheField name="Months (Data_Venda)" numFmtId="0" databaseField="0">
      <fieldGroup base="1">
        <rangePr groupBy="months" startDate="2026-01-02T00:00:00" endDate="2027-01-16T00:00:00"/>
        <groupItems count="14">
          <s v="&lt;02-01-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6-01-27"/>
        </groupItems>
      </fieldGroup>
    </cacheField>
    <cacheField name="Quarters (Data_Venda)" numFmtId="0" databaseField="0">
      <fieldGroup base="1">
        <rangePr groupBy="quarters" startDate="2026-01-02T00:00:00" endDate="2027-01-16T00:00:00"/>
        <groupItems count="6">
          <s v="&lt;02-01-26"/>
          <s v="Qtr1"/>
          <s v="Qtr2"/>
          <s v="Qtr3"/>
          <s v="Qtr4"/>
          <s v="&gt;16-01-27"/>
        </groupItems>
      </fieldGroup>
    </cacheField>
    <cacheField name="Years (Data_Venda)" numFmtId="0" databaseField="0">
      <fieldGroup base="1">
        <rangePr groupBy="years" startDate="2026-01-02T00:00:00" endDate="2027-01-16T00:00:00"/>
        <groupItems count="4">
          <s v="&lt;02-01-26"/>
          <s v="2026"/>
          <s v="2027"/>
          <s v="&gt;16-01-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x v="0"/>
    <s v="C001"/>
    <x v="0"/>
    <x v="0"/>
    <s v="P001"/>
    <x v="0"/>
    <x v="0"/>
    <n v="2"/>
    <n v="180"/>
    <n v="0"/>
    <n v="360"/>
    <x v="0"/>
    <x v="0"/>
    <s v="Concluída"/>
    <s v="Venda concluída"/>
    <m/>
  </r>
  <r>
    <x v="1"/>
    <x v="1"/>
    <s v="C002"/>
    <x v="1"/>
    <x v="1"/>
    <s v="P004"/>
    <x v="1"/>
    <x v="0"/>
    <n v="1"/>
    <n v="850"/>
    <n v="5"/>
    <n v="807.5"/>
    <x v="1"/>
    <x v="1"/>
    <s v="Concluída"/>
    <s v="Venda concluída"/>
    <m/>
  </r>
  <r>
    <x v="2"/>
    <x v="2"/>
    <s v="C003"/>
    <x v="2"/>
    <x v="2"/>
    <s v="P003"/>
    <x v="2"/>
    <x v="1"/>
    <n v="5"/>
    <n v="25"/>
    <n v="0"/>
    <n v="125"/>
    <x v="0"/>
    <x v="2"/>
    <s v="Concluída"/>
    <s v="Venda concluída"/>
    <m/>
  </r>
  <r>
    <x v="3"/>
    <x v="3"/>
    <s v="C004"/>
    <x v="3"/>
    <x v="3"/>
    <s v="P002"/>
    <x v="3"/>
    <x v="1"/>
    <n v="3"/>
    <n v="75"/>
    <n v="10"/>
    <n v="202.5"/>
    <x v="2"/>
    <x v="1"/>
    <s v="Concluída"/>
    <s v="Venda concluída"/>
    <m/>
  </r>
  <r>
    <x v="4"/>
    <x v="4"/>
    <s v="C005"/>
    <x v="4"/>
    <x v="4"/>
    <s v="P005"/>
    <x v="4"/>
    <x v="1"/>
    <n v="2"/>
    <n v="60"/>
    <n v="0"/>
    <n v="120"/>
    <x v="0"/>
    <x v="0"/>
    <s v="Cancelada"/>
    <s v="Venda cancelada"/>
    <s v="Cliente desistiu"/>
  </r>
  <r>
    <x v="5"/>
    <x v="5"/>
    <s v="C006"/>
    <x v="5"/>
    <x v="5"/>
    <s v="P006"/>
    <x v="5"/>
    <x v="2"/>
    <n v="4"/>
    <n v="120"/>
    <n v="0"/>
    <n v="480"/>
    <x v="1"/>
    <x v="1"/>
    <s v="Concluída"/>
    <s v="Venda concluída"/>
    <m/>
  </r>
  <r>
    <x v="6"/>
    <x v="6"/>
    <s v="C007"/>
    <x v="6"/>
    <x v="0"/>
    <s v="P007"/>
    <x v="6"/>
    <x v="2"/>
    <n v="2"/>
    <n v="120"/>
    <n v="0"/>
    <n v="240"/>
    <x v="0"/>
    <x v="2"/>
    <s v="Concluída"/>
    <s v="Venda concluída"/>
    <m/>
  </r>
  <r>
    <x v="7"/>
    <x v="7"/>
    <s v="C008"/>
    <x v="7"/>
    <x v="1"/>
    <s v="P008"/>
    <x v="7"/>
    <x v="2"/>
    <n v="1"/>
    <n v="119.99"/>
    <n v="0"/>
    <n v="119.99"/>
    <x v="2"/>
    <x v="1"/>
    <s v="Concluída"/>
    <s v="Venda concluída"/>
    <m/>
  </r>
  <r>
    <x v="8"/>
    <x v="8"/>
    <s v="C009"/>
    <x v="8"/>
    <x v="2"/>
    <s v="P009"/>
    <x v="8"/>
    <x v="3"/>
    <n v="1"/>
    <n v="210"/>
    <n v="0"/>
    <n v="210"/>
    <x v="3"/>
    <x v="0"/>
    <s v="Concluída"/>
    <s v="Venda concluída"/>
    <m/>
  </r>
  <r>
    <x v="9"/>
    <x v="9"/>
    <s v="C010"/>
    <x v="9"/>
    <x v="3"/>
    <s v="P010"/>
    <x v="9"/>
    <x v="3"/>
    <n v="6"/>
    <n v="35"/>
    <n v="15"/>
    <n v="178.5"/>
    <x v="1"/>
    <x v="1"/>
    <s v="Concluída"/>
    <s v="Venda concluída"/>
    <m/>
  </r>
  <r>
    <x v="10"/>
    <x v="10"/>
    <s v="C011"/>
    <x v="10"/>
    <x v="0"/>
    <s v="P011"/>
    <x v="10"/>
    <x v="4"/>
    <n v="2"/>
    <n v="95"/>
    <n v="0"/>
    <n v="190"/>
    <x v="0"/>
    <x v="2"/>
    <s v="Concluída"/>
    <s v="Venda concluída"/>
    <m/>
  </r>
  <r>
    <x v="11"/>
    <x v="11"/>
    <s v="C012"/>
    <x v="11"/>
    <x v="6"/>
    <s v="P012"/>
    <x v="11"/>
    <x v="4"/>
    <n v="1"/>
    <n v="70"/>
    <n v="0"/>
    <n v="70"/>
    <x v="2"/>
    <x v="1"/>
    <s v="Concluída"/>
    <s v="Venda concluída"/>
    <m/>
  </r>
  <r>
    <x v="12"/>
    <x v="12"/>
    <s v="C013"/>
    <x v="12"/>
    <x v="7"/>
    <s v="P013"/>
    <x v="12"/>
    <x v="5"/>
    <n v="10"/>
    <n v="12"/>
    <n v="0"/>
    <n v="120"/>
    <x v="0"/>
    <x v="0"/>
    <s v="Concluída"/>
    <s v="Venda concluída"/>
    <m/>
  </r>
  <r>
    <x v="13"/>
    <x v="13"/>
    <s v="C014"/>
    <x v="13"/>
    <x v="8"/>
    <s v="P014"/>
    <x v="13"/>
    <x v="5"/>
    <n v="8"/>
    <n v="12"/>
    <n v="0"/>
    <n v="96"/>
    <x v="1"/>
    <x v="1"/>
    <s v="Concluída"/>
    <s v="Venda concluída"/>
    <m/>
  </r>
  <r>
    <x v="14"/>
    <x v="14"/>
    <s v="C015"/>
    <x v="14"/>
    <x v="1"/>
    <s v="P015"/>
    <x v="14"/>
    <x v="2"/>
    <n v="3"/>
    <n v="15"/>
    <n v="0"/>
    <n v="45"/>
    <x v="0"/>
    <x v="1"/>
    <s v="Concluída"/>
    <s v="Venda concluída"/>
    <m/>
  </r>
  <r>
    <x v="15"/>
    <x v="15"/>
    <s v="C016"/>
    <x v="15"/>
    <x v="9"/>
    <s v="P016"/>
    <x v="15"/>
    <x v="2"/>
    <n v="-2"/>
    <n v="15"/>
    <n v="0"/>
    <n v="-30"/>
    <x v="2"/>
    <x v="0"/>
    <s v="Concluída"/>
    <s v="Venda concluída"/>
    <s v="Devolução"/>
  </r>
  <r>
    <x v="16"/>
    <x v="16"/>
    <s v="C017"/>
    <x v="16"/>
    <x v="0"/>
    <s v="P017"/>
    <x v="16"/>
    <x v="1"/>
    <n v="2"/>
    <n v="55"/>
    <n v="0"/>
    <n v="110"/>
    <x v="1"/>
    <x v="1"/>
    <s v="Concluída"/>
    <s v="Venda concluída"/>
    <m/>
  </r>
  <r>
    <x v="17"/>
    <x v="17"/>
    <s v="C018"/>
    <x v="17"/>
    <x v="3"/>
    <s v="P018"/>
    <x v="17"/>
    <x v="6"/>
    <n v="1"/>
    <n v="80"/>
    <n v="0"/>
    <n v="80"/>
    <x v="0"/>
    <x v="2"/>
    <s v="Concluída"/>
    <s v="Venda concluída"/>
    <m/>
  </r>
  <r>
    <x v="18"/>
    <x v="18"/>
    <s v="C019"/>
    <x v="18"/>
    <x v="2"/>
    <s v="P019"/>
    <x v="17"/>
    <x v="7"/>
    <n v="1"/>
    <n v="80"/>
    <n v="0"/>
    <n v="80"/>
    <x v="4"/>
    <x v="1"/>
    <s v="Concluída"/>
    <s v="Venda concluída"/>
    <m/>
  </r>
  <r>
    <x v="19"/>
    <x v="19"/>
    <s v="C020"/>
    <x v="19"/>
    <x v="5"/>
    <s v="P020"/>
    <x v="18"/>
    <x v="7"/>
    <n v="2"/>
    <n v="65"/>
    <n v="5"/>
    <n v="123.5"/>
    <x v="0"/>
    <x v="0"/>
    <s v="Concluída"/>
    <s v="Venda concluída"/>
    <m/>
  </r>
  <r>
    <x v="20"/>
    <x v="20"/>
    <s v="C021"/>
    <x v="20"/>
    <x v="0"/>
    <s v="P021"/>
    <x v="19"/>
    <x v="1"/>
    <n v="2"/>
    <n v="79"/>
    <n v="0"/>
    <n v="158"/>
    <x v="2"/>
    <x v="1"/>
    <s v="Concluída"/>
    <s v="Venda concluída"/>
    <m/>
  </r>
  <r>
    <x v="21"/>
    <x v="21"/>
    <s v="C022"/>
    <x v="21"/>
    <x v="1"/>
    <s v="P022"/>
    <x v="19"/>
    <x v="1"/>
    <n v="1"/>
    <n v="79"/>
    <n v="0"/>
    <n v="79"/>
    <x v="1"/>
    <x v="1"/>
    <s v="Concluída"/>
    <s v="Venda concluída"/>
    <m/>
  </r>
  <r>
    <x v="22"/>
    <x v="22"/>
    <s v="C023"/>
    <x v="0"/>
    <x v="0"/>
    <s v="P023"/>
    <x v="20"/>
    <x v="8"/>
    <n v="15"/>
    <n v="4.5"/>
    <n v="0"/>
    <n v="67.5"/>
    <x v="0"/>
    <x v="0"/>
    <s v="Concluída"/>
    <s v="Venda concluída"/>
    <m/>
  </r>
  <r>
    <x v="23"/>
    <x v="23"/>
    <s v="C024"/>
    <x v="22"/>
    <x v="4"/>
    <s v="P024"/>
    <x v="21"/>
    <x v="9"/>
    <n v="1"/>
    <n v="185"/>
    <n v="0"/>
    <n v="185"/>
    <x v="1"/>
    <x v="1"/>
    <s v="Concluída"/>
    <s v="Venda concluída"/>
    <m/>
  </r>
  <r>
    <x v="24"/>
    <x v="24"/>
    <s v="C025"/>
    <x v="23"/>
    <x v="6"/>
    <s v="P025"/>
    <x v="22"/>
    <x v="9"/>
    <n v="1"/>
    <n v="249"/>
    <n v="20"/>
    <n v="199.2"/>
    <x v="2"/>
    <x v="1"/>
    <s v="Concluída"/>
    <s v="Venda concluída"/>
    <m/>
  </r>
  <r>
    <x v="25"/>
    <x v="25"/>
    <s v="C026"/>
    <x v="24"/>
    <x v="7"/>
    <s v="P026"/>
    <x v="23"/>
    <x v="0"/>
    <n v="2"/>
    <n v="245"/>
    <n v="0"/>
    <n v="490"/>
    <x v="0"/>
    <x v="2"/>
    <s v="Concluída"/>
    <s v="Venda concluída"/>
    <m/>
  </r>
  <r>
    <x v="26"/>
    <x v="26"/>
    <s v="C027"/>
    <x v="25"/>
    <x v="1"/>
    <s v="P027"/>
    <x v="24"/>
    <x v="0"/>
    <n v="2"/>
    <n v="245"/>
    <n v="0"/>
    <n v="490"/>
    <x v="1"/>
    <x v="1"/>
    <s v="Concluída"/>
    <s v="Venda concluída"/>
    <m/>
  </r>
  <r>
    <x v="27"/>
    <x v="27"/>
    <s v="C028"/>
    <x v="26"/>
    <x v="3"/>
    <s v="P028"/>
    <x v="25"/>
    <x v="0"/>
    <n v="1"/>
    <n v="320"/>
    <n v="0"/>
    <n v="320"/>
    <x v="0"/>
    <x v="1"/>
    <s v="Pendente"/>
    <s v="Venda pendente"/>
    <s v="Pagamento pendente"/>
  </r>
  <r>
    <x v="28"/>
    <x v="28"/>
    <s v="C029"/>
    <x v="27"/>
    <x v="0"/>
    <s v="P029"/>
    <x v="26"/>
    <x v="0"/>
    <n v="1"/>
    <n v="699"/>
    <n v="0"/>
    <n v="699"/>
    <x v="2"/>
    <x v="0"/>
    <s v="Concluída"/>
    <s v="Venda concluída"/>
    <m/>
  </r>
  <r>
    <x v="29"/>
    <x v="29"/>
    <s v="C030"/>
    <x v="28"/>
    <x v="8"/>
    <s v="P032"/>
    <x v="27"/>
    <x v="10"/>
    <n v="1"/>
    <n v="649"/>
    <n v="0"/>
    <n v="649"/>
    <x v="1"/>
    <x v="1"/>
    <s v="Concluída"/>
    <s v="Venda concluída"/>
    <s v="ID_Produto corrigido de P030 para P032"/>
  </r>
  <r>
    <x v="30"/>
    <x v="30"/>
    <s v="C999"/>
    <x v="29"/>
    <x v="10"/>
    <s v="P001"/>
    <x v="0"/>
    <x v="0"/>
    <n v="1"/>
    <n v="180"/>
    <n v="0"/>
    <n v="180"/>
    <x v="0"/>
    <x v="1"/>
    <s v="Concluída"/>
    <s v="Venda concluída"/>
    <s v="cliente C999 inexistente, "/>
  </r>
  <r>
    <x v="31"/>
    <x v="31"/>
    <s v="C001"/>
    <x v="0"/>
    <x v="0"/>
    <s v="P999"/>
    <x v="28"/>
    <x v="11"/>
    <n v="2"/>
    <n v="50"/>
    <n v="0"/>
    <n v="100"/>
    <x v="1"/>
    <x v="1"/>
    <s v="Concluída"/>
    <s v="Venda concluída"/>
    <s v="produto P999 inexistente"/>
  </r>
  <r>
    <x v="32"/>
    <x v="32"/>
    <s v="C005"/>
    <x v="4"/>
    <x v="4"/>
    <s v="P004"/>
    <x v="1"/>
    <x v="0"/>
    <n v="1"/>
    <n v="850"/>
    <n v="100"/>
    <n v="0"/>
    <x v="2"/>
    <x v="1"/>
    <s v="Concluída"/>
    <s v="Venda concluída"/>
    <s v="Oferta comercial"/>
  </r>
  <r>
    <x v="33"/>
    <x v="33"/>
    <s v="C001"/>
    <x v="0"/>
    <x v="0"/>
    <s v="P001"/>
    <x v="0"/>
    <x v="0"/>
    <n v="2"/>
    <n v="180"/>
    <n v="0"/>
    <n v="360"/>
    <x v="0"/>
    <x v="1"/>
    <s v="Concluída"/>
    <s v="Venda concluída"/>
    <m/>
  </r>
  <r>
    <x v="34"/>
    <x v="33"/>
    <s v="C001"/>
    <x v="0"/>
    <x v="0"/>
    <s v="P001"/>
    <x v="0"/>
    <x v="0"/>
    <n v="2"/>
    <n v="180"/>
    <n v="0"/>
    <n v="360"/>
    <x v="0"/>
    <x v="1"/>
    <s v="Concluída"/>
    <s v="Venda concluída"/>
    <s v="Possível duplicado"/>
  </r>
  <r>
    <x v="35"/>
    <x v="34"/>
    <s v="C010"/>
    <x v="9"/>
    <x v="3"/>
    <s v="P017"/>
    <x v="16"/>
    <x v="1"/>
    <n v="0"/>
    <n v="55"/>
    <n v="0"/>
    <n v="0"/>
    <x v="1"/>
    <x v="1"/>
    <s v="Concluída"/>
    <s v="Venda concluída"/>
    <s v="Quantidade zero"/>
  </r>
  <r>
    <x v="36"/>
    <x v="35"/>
    <s v="C012"/>
    <x v="11"/>
    <x v="6"/>
    <s v="P018"/>
    <x v="17"/>
    <x v="6"/>
    <n v="3"/>
    <n v="80"/>
    <n v="0"/>
    <n v="240"/>
    <x v="0"/>
    <x v="2"/>
    <s v="Cancelada"/>
    <s v="Venda cancelada"/>
    <m/>
  </r>
  <r>
    <x v="37"/>
    <x v="36"/>
    <s v="C014"/>
    <x v="13"/>
    <x v="8"/>
    <s v="P050"/>
    <x v="1"/>
    <x v="0"/>
    <n v="1"/>
    <n v="850"/>
    <n v="0"/>
    <n v="850"/>
    <x v="2"/>
    <x v="1"/>
    <s v="Concluída"/>
    <s v="Venda concluída"/>
    <s v="Produto descontinuado"/>
  </r>
  <r>
    <x v="38"/>
    <x v="37"/>
    <s v="C018"/>
    <x v="17"/>
    <x v="3"/>
    <s v="P026"/>
    <x v="23"/>
    <x v="0"/>
    <n v="1"/>
    <n v="245"/>
    <n v="0"/>
    <n v="245"/>
    <x v="1"/>
    <x v="1"/>
    <s v="Concluída"/>
    <s v="Venda concluída"/>
    <s v="Data não confiavel"/>
  </r>
  <r>
    <x v="39"/>
    <x v="38"/>
    <s v="C003"/>
    <x v="2"/>
    <x v="2"/>
    <s v="P003"/>
    <x v="2"/>
    <x v="1"/>
    <n v="4"/>
    <n v="25"/>
    <n v="5"/>
    <n v="95"/>
    <x v="0"/>
    <x v="0"/>
    <s v="Concluída"/>
    <s v="Venda concluída"/>
    <m/>
  </r>
  <r>
    <x v="40"/>
    <x v="39"/>
    <s v="C031"/>
    <x v="30"/>
    <x v="1"/>
    <s v="P031"/>
    <x v="27"/>
    <x v="10"/>
    <n v="2"/>
    <n v="699"/>
    <n v="10"/>
    <n v="1258.2"/>
    <x v="5"/>
    <x v="1"/>
    <s v="Concluída"/>
    <s v="Venda concluída"/>
    <m/>
  </r>
  <r>
    <x v="41"/>
    <x v="40"/>
    <s v="C032"/>
    <x v="31"/>
    <x v="3"/>
    <s v="P032"/>
    <x v="27"/>
    <x v="10"/>
    <n v="1"/>
    <n v="649"/>
    <n v="15"/>
    <n v="551.65"/>
    <x v="6"/>
    <x v="2"/>
    <s v="Concluída"/>
    <s v="Venda concluída"/>
    <m/>
  </r>
  <r>
    <x v="42"/>
    <x v="41"/>
    <s v="C033"/>
    <x v="32"/>
    <x v="11"/>
    <s v="P033"/>
    <x v="27"/>
    <x v="10"/>
    <n v="3"/>
    <n v="699"/>
    <n v="0"/>
    <n v="2097"/>
    <x v="7"/>
    <x v="0"/>
    <s v="Concluída"/>
    <s v="Venda concluída"/>
    <m/>
  </r>
  <r>
    <x v="43"/>
    <x v="42"/>
    <s v="C034"/>
    <x v="33"/>
    <x v="0"/>
    <s v="P034"/>
    <x v="29"/>
    <x v="5"/>
    <n v="5"/>
    <n v="39"/>
    <n v="5"/>
    <n v="185.25"/>
    <x v="5"/>
    <x v="3"/>
    <s v="Concluída"/>
    <s v="Venda concluída"/>
    <m/>
  </r>
  <r>
    <x v="44"/>
    <x v="43"/>
    <s v="C035"/>
    <x v="34"/>
    <x v="2"/>
    <s v="P035"/>
    <x v="30"/>
    <x v="5"/>
    <n v="1"/>
    <n v="39"/>
    <n v="0"/>
    <n v="39"/>
    <x v="0"/>
    <x v="1"/>
    <s v="Concluída"/>
    <s v="Venda concluída"/>
    <m/>
  </r>
  <r>
    <x v="45"/>
    <x v="44"/>
    <s v="C036"/>
    <x v="35"/>
    <x v="5"/>
    <s v="P036"/>
    <x v="31"/>
    <x v="5"/>
    <n v="2"/>
    <n v="22"/>
    <n v="0"/>
    <n v="44"/>
    <x v="1"/>
    <x v="4"/>
    <s v="Pendente"/>
    <s v="Venda pendente"/>
    <m/>
  </r>
  <r>
    <x v="46"/>
    <x v="45"/>
    <s v="C037"/>
    <x v="36"/>
    <x v="1"/>
    <s v="P037"/>
    <x v="32"/>
    <x v="5"/>
    <n v="1"/>
    <n v="34"/>
    <n v="0"/>
    <n v="34"/>
    <x v="2"/>
    <x v="5"/>
    <s v="Concluída"/>
    <s v="Venda concluída"/>
    <m/>
  </r>
  <r>
    <x v="47"/>
    <x v="46"/>
    <s v="C038"/>
    <x v="37"/>
    <x v="0"/>
    <s v="P038"/>
    <x v="33"/>
    <x v="5"/>
    <n v="1"/>
    <n v="149"/>
    <n v="25"/>
    <n v="111.75"/>
    <x v="6"/>
    <x v="6"/>
    <s v="Concluída"/>
    <s v="Venda concluída"/>
    <m/>
  </r>
  <r>
    <x v="48"/>
    <x v="47"/>
    <s v="C039"/>
    <x v="38"/>
    <x v="7"/>
    <s v="P039"/>
    <x v="34"/>
    <x v="5"/>
    <n v="1"/>
    <n v="590"/>
    <n v="0"/>
    <n v="590"/>
    <x v="3"/>
    <x v="1"/>
    <s v="Concluída"/>
    <s v="Venda concluída"/>
    <m/>
  </r>
  <r>
    <x v="49"/>
    <x v="48"/>
    <s v="C040"/>
    <x v="39"/>
    <x v="4"/>
    <s v="P040"/>
    <x v="35"/>
    <x v="5"/>
    <n v="1"/>
    <n v="170"/>
    <n v="0"/>
    <n v="170"/>
    <x v="4"/>
    <x v="2"/>
    <s v="Concluída"/>
    <s v="Venda concluída"/>
    <m/>
  </r>
  <r>
    <x v="50"/>
    <x v="49"/>
    <s v="C041"/>
    <x v="40"/>
    <x v="3"/>
    <s v="P041"/>
    <x v="36"/>
    <x v="5"/>
    <n v="2"/>
    <n v="149"/>
    <n v="0"/>
    <n v="298"/>
    <x v="0"/>
    <x v="1"/>
    <s v="Concluída"/>
    <s v="Venda concluída"/>
    <m/>
  </r>
  <r>
    <x v="51"/>
    <x v="50"/>
    <s v="C042"/>
    <x v="41"/>
    <x v="1"/>
    <s v="P042"/>
    <x v="37"/>
    <x v="12"/>
    <n v="1"/>
    <n v="590"/>
    <n v="10"/>
    <n v="531"/>
    <x v="1"/>
    <x v="2"/>
    <s v="Concluída"/>
    <s v="Venda concluída"/>
    <m/>
  </r>
  <r>
    <x v="52"/>
    <x v="51"/>
    <s v="C043"/>
    <x v="42"/>
    <x v="0"/>
    <s v="P043"/>
    <x v="38"/>
    <x v="12"/>
    <n v="1"/>
    <n v="590"/>
    <n v="0"/>
    <n v="590"/>
    <x v="2"/>
    <x v="0"/>
    <s v="Concluída"/>
    <s v="Venda concluída"/>
    <m/>
  </r>
  <r>
    <x v="53"/>
    <x v="52"/>
    <s v="C044"/>
    <x v="43"/>
    <x v="2"/>
    <s v="P044"/>
    <x v="39"/>
    <x v="3"/>
    <n v="2"/>
    <n v="170"/>
    <n v="5"/>
    <n v="323"/>
    <x v="5"/>
    <x v="1"/>
    <s v="Concluída"/>
    <s v="Venda concluída"/>
    <m/>
  </r>
  <r>
    <x v="54"/>
    <x v="53"/>
    <s v="C045"/>
    <x v="44"/>
    <x v="8"/>
    <s v="P045"/>
    <x v="39"/>
    <x v="13"/>
    <n v="1"/>
    <n v="170"/>
    <n v="0"/>
    <n v="170"/>
    <x v="6"/>
    <x v="1"/>
    <s v="Concluída"/>
    <s v="Venda concluída"/>
    <m/>
  </r>
  <r>
    <x v="55"/>
    <x v="54"/>
    <s v="C046"/>
    <x v="45"/>
    <x v="6"/>
    <s v="P046"/>
    <x v="40"/>
    <x v="14"/>
    <n v="5"/>
    <n v="99"/>
    <n v="0"/>
    <n v="495"/>
    <x v="0"/>
    <x v="2"/>
    <s v="Concluída"/>
    <s v="Venda concluída"/>
    <m/>
  </r>
  <r>
    <x v="56"/>
    <x v="55"/>
    <s v="C047"/>
    <x v="46"/>
    <x v="0"/>
    <s v="P047"/>
    <x v="41"/>
    <x v="14"/>
    <n v="2"/>
    <n v="99"/>
    <n v="0"/>
    <n v="198"/>
    <x v="1"/>
    <x v="1"/>
    <s v="Concluída"/>
    <s v="Venda concluída"/>
    <m/>
  </r>
  <r>
    <x v="57"/>
    <x v="56"/>
    <s v="C048"/>
    <x v="47"/>
    <x v="9"/>
    <s v="P048"/>
    <x v="42"/>
    <x v="14"/>
    <n v="3"/>
    <n v="45"/>
    <n v="15"/>
    <n v="114.75"/>
    <x v="7"/>
    <x v="0"/>
    <s v="Concluída"/>
    <s v="Venda concluída"/>
    <m/>
  </r>
  <r>
    <x v="58"/>
    <x v="57"/>
    <s v="C049"/>
    <x v="48"/>
    <x v="3"/>
    <s v="P049"/>
    <x v="43"/>
    <x v="14"/>
    <n v="1"/>
    <n v="45"/>
    <n v="0"/>
    <n v="45"/>
    <x v="2"/>
    <x v="6"/>
    <s v="Concluída"/>
    <s v="Venda concluída"/>
    <m/>
  </r>
  <r>
    <x v="59"/>
    <x v="58"/>
    <s v="C050"/>
    <x v="49"/>
    <x v="1"/>
    <s v="P050"/>
    <x v="1"/>
    <x v="0"/>
    <n v="1"/>
    <n v="850"/>
    <n v="0"/>
    <n v="850"/>
    <x v="3"/>
    <x v="1"/>
    <s v="Concluída"/>
    <s v="Venda concluída"/>
    <s v="Produto descontinuado"/>
  </r>
  <r>
    <x v="60"/>
    <x v="59"/>
    <s v="C051"/>
    <x v="50"/>
    <x v="0"/>
    <s v="P051"/>
    <x v="44"/>
    <x v="1"/>
    <n v="4"/>
    <n v="19.899999999999999"/>
    <n v="0"/>
    <n v="79.599999999999994"/>
    <x v="1"/>
    <x v="1"/>
    <s v="Concluída"/>
    <s v="Venda concluída"/>
    <m/>
  </r>
  <r>
    <x v="61"/>
    <x v="60"/>
    <s v="C052"/>
    <x v="51"/>
    <x v="1"/>
    <s v="P052"/>
    <x v="45"/>
    <x v="1"/>
    <n v="4"/>
    <n v="19.899999999999999"/>
    <n v="0"/>
    <n v="79.599999999999994"/>
    <x v="0"/>
    <x v="2"/>
    <s v="Concluída"/>
    <s v="Venda concluída"/>
    <m/>
  </r>
  <r>
    <x v="62"/>
    <x v="61"/>
    <s v="C053"/>
    <x v="52"/>
    <x v="3"/>
    <s v="P053"/>
    <x v="46"/>
    <x v="15"/>
    <n v="2"/>
    <n v="89"/>
    <n v="5"/>
    <n v="169.1"/>
    <x v="6"/>
    <x v="0"/>
    <s v="Concluída"/>
    <s v="Venda concluída"/>
    <m/>
  </r>
  <r>
    <x v="63"/>
    <x v="62"/>
    <s v="C054"/>
    <x v="53"/>
    <x v="2"/>
    <s v="P054"/>
    <x v="47"/>
    <x v="15"/>
    <n v="2"/>
    <n v="89"/>
    <n v="5"/>
    <n v="169.1"/>
    <x v="5"/>
    <x v="1"/>
    <s v="Concluída"/>
    <s v="Venda concluída"/>
    <m/>
  </r>
  <r>
    <x v="64"/>
    <x v="63"/>
    <s v="C055"/>
    <x v="54"/>
    <x v="0"/>
    <s v="P055"/>
    <x v="48"/>
    <x v="2"/>
    <n v="1"/>
    <n v="95"/>
    <n v="0"/>
    <n v="95"/>
    <x v="4"/>
    <x v="3"/>
    <s v="Concluída"/>
    <s v="Venda concluída"/>
    <m/>
  </r>
  <r>
    <x v="65"/>
    <x v="64"/>
    <s v="C056"/>
    <x v="55"/>
    <x v="9"/>
    <s v="P056"/>
    <x v="49"/>
    <x v="2"/>
    <n v="2"/>
    <n v="95"/>
    <n v="0"/>
    <n v="190"/>
    <x v="0"/>
    <x v="1"/>
    <s v="Cancelada"/>
    <s v="Venda cancelada"/>
    <m/>
  </r>
  <r>
    <x v="66"/>
    <x v="65"/>
    <s v="C057"/>
    <x v="56"/>
    <x v="5"/>
    <s v="P057"/>
    <x v="50"/>
    <x v="2"/>
    <n v="1"/>
    <n v="320"/>
    <n v="0"/>
    <n v="320"/>
    <x v="1"/>
    <x v="2"/>
    <s v="Concluída"/>
    <s v="Venda concluída"/>
    <m/>
  </r>
  <r>
    <x v="67"/>
    <x v="66"/>
    <s v="C058"/>
    <x v="57"/>
    <x v="1"/>
    <s v="P058"/>
    <x v="51"/>
    <x v="2"/>
    <n v="1"/>
    <n v="320"/>
    <n v="0"/>
    <n v="320"/>
    <x v="2"/>
    <x v="1"/>
    <s v="Concluída"/>
    <s v="Venda concluída"/>
    <m/>
  </r>
  <r>
    <x v="68"/>
    <x v="67"/>
    <s v="C059"/>
    <x v="58"/>
    <x v="0"/>
    <s v="P059"/>
    <x v="52"/>
    <x v="4"/>
    <n v="2"/>
    <n v="420"/>
    <n v="10"/>
    <n v="756"/>
    <x v="6"/>
    <x v="4"/>
    <s v="Concluída"/>
    <s v="Venda concluída"/>
    <m/>
  </r>
  <r>
    <x v="69"/>
    <x v="68"/>
    <s v="C060"/>
    <x v="59"/>
    <x v="8"/>
    <s v="P060"/>
    <x v="52"/>
    <x v="4"/>
    <n v="2"/>
    <n v="420"/>
    <n v="10"/>
    <n v="756"/>
    <x v="6"/>
    <x v="4"/>
    <s v="Concluída"/>
    <s v="Venda concluída"/>
    <m/>
  </r>
  <r>
    <x v="70"/>
    <x v="69"/>
    <s v="C061"/>
    <x v="60"/>
    <x v="7"/>
    <s v="P061"/>
    <x v="53"/>
    <x v="4"/>
    <n v="3"/>
    <n v="195"/>
    <n v="0"/>
    <n v="585"/>
    <x v="0"/>
    <x v="1"/>
    <s v="Concluída"/>
    <s v="Venda concluída"/>
    <m/>
  </r>
  <r>
    <x v="71"/>
    <x v="70"/>
    <s v="C062"/>
    <x v="61"/>
    <x v="3"/>
    <s v="P062"/>
    <x v="53"/>
    <x v="4"/>
    <n v="3"/>
    <n v="195"/>
    <n v="0"/>
    <n v="585"/>
    <x v="0"/>
    <x v="1"/>
    <s v="Concluída"/>
    <s v="Venda concluída"/>
    <m/>
  </r>
  <r>
    <x v="72"/>
    <x v="71"/>
    <s v="C063"/>
    <x v="62"/>
    <x v="0"/>
    <s v="P063"/>
    <x v="54"/>
    <x v="4"/>
    <n v="2"/>
    <n v="165"/>
    <n v="0"/>
    <n v="330"/>
    <x v="1"/>
    <x v="2"/>
    <s v="Concluída"/>
    <s v="Venda concluída"/>
    <m/>
  </r>
  <r>
    <x v="73"/>
    <x v="72"/>
    <s v="C064"/>
    <x v="63"/>
    <x v="6"/>
    <s v="P064"/>
    <x v="55"/>
    <x v="4"/>
    <n v="2"/>
    <n v="165"/>
    <n v="0"/>
    <n v="330"/>
    <x v="2"/>
    <x v="0"/>
    <s v="Concluída"/>
    <s v="Venda concluída"/>
    <m/>
  </r>
  <r>
    <x v="74"/>
    <x v="73"/>
    <s v="C065"/>
    <x v="64"/>
    <x v="1"/>
    <s v="P065"/>
    <x v="56"/>
    <x v="4"/>
    <n v="1"/>
    <n v="780"/>
    <n v="20"/>
    <n v="624"/>
    <x v="5"/>
    <x v="1"/>
    <s v="Concluída"/>
    <s v="Venda concluída"/>
    <m/>
  </r>
  <r>
    <x v="75"/>
    <x v="74"/>
    <s v="C066"/>
    <x v="65"/>
    <x v="4"/>
    <s v="P066"/>
    <x v="56"/>
    <x v="4"/>
    <n v="1"/>
    <n v="780"/>
    <n v="20"/>
    <n v="624"/>
    <x v="5"/>
    <x v="1"/>
    <s v="Concluída"/>
    <s v="Venda concluída"/>
    <m/>
  </r>
  <r>
    <x v="76"/>
    <x v="75"/>
    <s v="C067"/>
    <x v="66"/>
    <x v="0"/>
    <s v="P067"/>
    <x v="57"/>
    <x v="16"/>
    <n v="5"/>
    <n v="89"/>
    <n v="0"/>
    <n v="445"/>
    <x v="6"/>
    <x v="2"/>
    <s v="Concluída"/>
    <s v="Venda concluída"/>
    <m/>
  </r>
  <r>
    <x v="77"/>
    <x v="76"/>
    <s v="C068"/>
    <x v="66"/>
    <x v="0"/>
    <s v="P068"/>
    <x v="58"/>
    <x v="16"/>
    <n v="5"/>
    <n v="89"/>
    <n v="0"/>
    <n v="445"/>
    <x v="6"/>
    <x v="2"/>
    <s v="Concluída"/>
    <s v="Venda concluída"/>
    <m/>
  </r>
  <r>
    <x v="78"/>
    <x v="77"/>
    <s v="C069"/>
    <x v="67"/>
    <x v="2"/>
    <s v="P069"/>
    <x v="59"/>
    <x v="16"/>
    <n v="2"/>
    <n v="145"/>
    <n v="0"/>
    <n v="290"/>
    <x v="1"/>
    <x v="1"/>
    <s v="Pendente"/>
    <s v="Venda pendente"/>
    <m/>
  </r>
  <r>
    <x v="79"/>
    <x v="78"/>
    <s v="C070"/>
    <x v="68"/>
    <x v="5"/>
    <s v="P070"/>
    <x v="60"/>
    <x v="16"/>
    <n v="2"/>
    <n v="145"/>
    <n v="0"/>
    <n v="290"/>
    <x v="1"/>
    <x v="1"/>
    <s v="Concluída"/>
    <s v="Venda concluída"/>
    <m/>
  </r>
  <r>
    <x v="80"/>
    <x v="79"/>
    <s v="C071"/>
    <x v="69"/>
    <x v="11"/>
    <s v="P071"/>
    <x v="61"/>
    <x v="16"/>
    <n v="1"/>
    <n v="299"/>
    <n v="0"/>
    <n v="299"/>
    <x v="0"/>
    <x v="1"/>
    <s v="Concluída"/>
    <s v="Venda concluída"/>
    <s v="Desconto original era 110% (impossível), assumido 0%"/>
  </r>
  <r>
    <x v="81"/>
    <x v="80"/>
    <s v="C072"/>
    <x v="70"/>
    <x v="0"/>
    <s v="P072"/>
    <x v="62"/>
    <x v="16"/>
    <n v="1"/>
    <n v="299"/>
    <n v="0"/>
    <n v="299"/>
    <x v="0"/>
    <x v="1"/>
    <s v="Concluída"/>
    <s v="Venda concluída"/>
    <s v="Desconto original era -5% (impossível), assumido 0%"/>
  </r>
  <r>
    <x v="82"/>
    <x v="81"/>
    <s v="C073"/>
    <x v="71"/>
    <x v="3"/>
    <s v="P073"/>
    <x v="63"/>
    <x v="17"/>
    <n v="999"/>
    <n v="110"/>
    <n v="0"/>
    <n v="109890"/>
    <x v="1"/>
    <x v="2"/>
    <s v="Concluída"/>
    <s v="Venda concluída"/>
    <s v="Quantidade (999) impossível face ao stock disponível (44 unidades). Não é possível determinar o valor real. Excluir esta venda dos cálculos de quantidade/faturação na Fase 4."/>
  </r>
  <r>
    <x v="83"/>
    <x v="82"/>
    <s v="C074"/>
    <x v="72"/>
    <x v="1"/>
    <s v="P074"/>
    <x v="64"/>
    <x v="17"/>
    <n v="1"/>
    <n v="110"/>
    <n v="0"/>
    <n v="110"/>
    <x v="2"/>
    <x v="1"/>
    <s v="Concluída"/>
    <s v="Venda concluída"/>
    <s v="Preço suspeito"/>
  </r>
  <r>
    <x v="84"/>
    <x v="83"/>
    <s v="C075"/>
    <x v="73"/>
    <x v="2"/>
    <s v="P075"/>
    <x v="65"/>
    <x v="17"/>
    <n v="2"/>
    <n v="45"/>
    <n v="0"/>
    <n v="90"/>
    <x v="6"/>
    <x v="0"/>
    <s v="Devolvida"/>
    <s v="Venda devolvida"/>
    <m/>
  </r>
  <r>
    <x v="85"/>
    <x v="84"/>
    <s v="C076"/>
    <x v="74"/>
    <x v="0"/>
    <s v="P076"/>
    <x v="66"/>
    <x v="17"/>
    <n v="2"/>
    <n v="45"/>
    <n v="0"/>
    <n v="90"/>
    <x v="5"/>
    <x v="1"/>
    <s v="Concluída"/>
    <s v="Venda concluída"/>
    <m/>
  </r>
  <r>
    <x v="86"/>
    <x v="85"/>
    <s v="C077"/>
    <x v="75"/>
    <x v="8"/>
    <s v="P077"/>
    <x v="67"/>
    <x v="14"/>
    <n v="1"/>
    <n v="189"/>
    <n v="0"/>
    <n v="189"/>
    <x v="1"/>
    <x v="1"/>
    <s v="Concluída"/>
    <s v="Venda concluída"/>
    <m/>
  </r>
  <r>
    <x v="87"/>
    <x v="86"/>
    <s v="C078"/>
    <x v="76"/>
    <x v="1"/>
    <s v="P078"/>
    <x v="68"/>
    <x v="14"/>
    <n v="1"/>
    <n v="189"/>
    <n v="0"/>
    <n v="189"/>
    <x v="0"/>
    <x v="2"/>
    <s v="Concluída"/>
    <s v="Venda concluída"/>
    <m/>
  </r>
  <r>
    <x v="88"/>
    <x v="87"/>
    <s v="C079"/>
    <x v="77"/>
    <x v="9"/>
    <s v="P079"/>
    <x v="69"/>
    <x v="14"/>
    <n v="2"/>
    <n v="289"/>
    <n v="15"/>
    <n v="491.3"/>
    <x v="2"/>
    <x v="1"/>
    <s v="Concluída"/>
    <s v="Venda concluída"/>
    <m/>
  </r>
  <r>
    <x v="89"/>
    <x v="88"/>
    <s v="C080"/>
    <x v="0"/>
    <x v="0"/>
    <s v="P080"/>
    <x v="70"/>
    <x v="14"/>
    <n v="2"/>
    <n v="289"/>
    <n v="15"/>
    <n v="491.3"/>
    <x v="2"/>
    <x v="1"/>
    <s v="Concluída"/>
    <s v="Venda concluída"/>
    <m/>
  </r>
  <r>
    <x v="90"/>
    <x v="89"/>
    <s v="C081"/>
    <x v="78"/>
    <x v="4"/>
    <s v="P081"/>
    <x v="71"/>
    <x v="0"/>
    <n v="1"/>
    <n v="499"/>
    <n v="0"/>
    <n v="499"/>
    <x v="1"/>
    <x v="6"/>
    <s v="Concluída"/>
    <s v="Venda concluída"/>
    <m/>
  </r>
  <r>
    <x v="91"/>
    <x v="90"/>
    <s v="C082"/>
    <x v="79"/>
    <x v="1"/>
    <s v="P082"/>
    <x v="72"/>
    <x v="0"/>
    <n v="1"/>
    <n v="499"/>
    <n v="0"/>
    <n v="499"/>
    <x v="0"/>
    <x v="1"/>
    <s v="Concluída"/>
    <s v="Venda concluída"/>
    <m/>
  </r>
  <r>
    <x v="92"/>
    <x v="91"/>
    <s v="C083"/>
    <x v="80"/>
    <x v="3"/>
    <s v="P083"/>
    <x v="73"/>
    <x v="0"/>
    <n v="1"/>
    <n v="499"/>
    <n v="0"/>
    <n v="499"/>
    <x v="0"/>
    <x v="1"/>
    <s v="Concluída"/>
    <s v="Venda concluída"/>
    <m/>
  </r>
  <r>
    <x v="93"/>
    <x v="92"/>
    <s v="C084"/>
    <x v="81"/>
    <x v="0"/>
    <s v="P084"/>
    <x v="74"/>
    <x v="0"/>
    <n v="2"/>
    <n v="549"/>
    <n v="5"/>
    <n v="1043.0999999999999"/>
    <x v="6"/>
    <x v="2"/>
    <s v="Concluída"/>
    <s v="Venda concluída"/>
    <m/>
  </r>
  <r>
    <x v="94"/>
    <x v="93"/>
    <s v="C085"/>
    <x v="82"/>
    <x v="5"/>
    <s v="P085"/>
    <x v="75"/>
    <x v="0"/>
    <n v="2"/>
    <n v="549"/>
    <n v="5"/>
    <n v="1043.0999999999999"/>
    <x v="6"/>
    <x v="2"/>
    <s v="Concluída"/>
    <s v="Venda concluída"/>
    <m/>
  </r>
  <r>
    <x v="95"/>
    <x v="94"/>
    <s v="C086"/>
    <x v="83"/>
    <x v="2"/>
    <s v="P086"/>
    <x v="74"/>
    <x v="0"/>
    <n v="1"/>
    <n v="549"/>
    <n v="0"/>
    <n v="549"/>
    <x v="1"/>
    <x v="1"/>
    <s v="Concluída"/>
    <s v="Venda concluída"/>
    <s v="Preço confirmado no catalogo"/>
  </r>
  <r>
    <x v="96"/>
    <x v="95"/>
    <s v="C087"/>
    <x v="84"/>
    <x v="1"/>
    <s v="P087"/>
    <x v="76"/>
    <x v="1"/>
    <n v="3"/>
    <n v="49"/>
    <n v="0"/>
    <n v="147"/>
    <x v="2"/>
    <x v="0"/>
    <s v="Concluída"/>
    <s v="Venda concluída"/>
    <m/>
  </r>
  <r>
    <x v="97"/>
    <x v="96"/>
    <s v="C088"/>
    <x v="85"/>
    <x v="0"/>
    <s v="P088"/>
    <x v="77"/>
    <x v="1"/>
    <n v="3"/>
    <n v="49"/>
    <n v="0"/>
    <n v="147"/>
    <x v="5"/>
    <x v="1"/>
    <s v="Concluída"/>
    <s v="Venda concluída"/>
    <m/>
  </r>
  <r>
    <x v="98"/>
    <x v="97"/>
    <s v="C089"/>
    <x v="86"/>
    <x v="3"/>
    <s v="P089"/>
    <x v="78"/>
    <x v="1"/>
    <n v="2"/>
    <n v="29"/>
    <n v="0"/>
    <n v="58"/>
    <x v="3"/>
    <x v="2"/>
    <s v="Concluída"/>
    <s v="Venda concluída"/>
    <m/>
  </r>
  <r>
    <x v="99"/>
    <x v="98"/>
    <s v="C090"/>
    <x v="87"/>
    <x v="7"/>
    <s v="P090"/>
    <x v="79"/>
    <x v="1"/>
    <n v="2"/>
    <n v="29"/>
    <n v="0"/>
    <n v="58"/>
    <x v="4"/>
    <x v="1"/>
    <s v="Concluída"/>
    <s v="Venda concluída"/>
    <m/>
  </r>
  <r>
    <x v="100"/>
    <x v="99"/>
    <s v="C091"/>
    <x v="88"/>
    <x v="0"/>
    <s v="P091"/>
    <x v="80"/>
    <x v="2"/>
    <n v="1"/>
    <n v="349"/>
    <n v="0"/>
    <n v="349"/>
    <x v="0"/>
    <x v="1"/>
    <s v="Concluída"/>
    <s v="Venda concluída"/>
    <m/>
  </r>
  <r>
    <x v="101"/>
    <x v="100"/>
    <s v="C092"/>
    <x v="88"/>
    <x v="0"/>
    <s v="P092"/>
    <x v="81"/>
    <x v="2"/>
    <n v="2"/>
    <n v="349"/>
    <n v="10"/>
    <n v="628.20000000000005"/>
    <x v="1"/>
    <x v="2"/>
    <s v="Concluída"/>
    <s v="Venda concluída"/>
    <m/>
  </r>
  <r>
    <x v="102"/>
    <x v="101"/>
    <s v="C093"/>
    <x v="89"/>
    <x v="3"/>
    <s v="P093"/>
    <x v="80"/>
    <x v="2"/>
    <n v="3"/>
    <n v="129"/>
    <n v="0"/>
    <n v="387"/>
    <x v="2"/>
    <x v="0"/>
    <s v="Concluída"/>
    <s v="Venda concluída"/>
    <m/>
  </r>
  <r>
    <x v="103"/>
    <x v="102"/>
    <s v="C094"/>
    <x v="90"/>
    <x v="1"/>
    <s v="P094"/>
    <x v="82"/>
    <x v="2"/>
    <n v="2"/>
    <n v="129"/>
    <n v="5"/>
    <n v="245.1"/>
    <x v="5"/>
    <x v="1"/>
    <s v="Concluída"/>
    <s v="Venda concluída"/>
    <m/>
  </r>
  <r>
    <x v="104"/>
    <x v="103"/>
    <s v="C095"/>
    <x v="91"/>
    <x v="8"/>
    <s v="P095"/>
    <x v="83"/>
    <x v="2"/>
    <n v="1"/>
    <n v="249"/>
    <n v="0"/>
    <n v="249"/>
    <x v="6"/>
    <x v="1"/>
    <s v="Concluída"/>
    <s v="Venda concluída"/>
    <m/>
  </r>
  <r>
    <x v="105"/>
    <x v="104"/>
    <s v="C096"/>
    <x v="92"/>
    <x v="0"/>
    <s v="P096"/>
    <x v="84"/>
    <x v="1"/>
    <n v="4"/>
    <n v="249"/>
    <n v="15"/>
    <n v="846.6"/>
    <x v="0"/>
    <x v="2"/>
    <s v="Concluída"/>
    <s v="Venda concluída"/>
    <m/>
  </r>
  <r>
    <x v="106"/>
    <x v="105"/>
    <s v="C097"/>
    <x v="93"/>
    <x v="2"/>
    <s v="P097"/>
    <x v="85"/>
    <x v="1"/>
    <n v="2"/>
    <n v="59"/>
    <n v="0"/>
    <n v="118"/>
    <x v="1"/>
    <x v="1"/>
    <s v="Concluída"/>
    <s v="Venda concluída"/>
    <m/>
  </r>
  <r>
    <x v="107"/>
    <x v="106"/>
    <s v="C098"/>
    <x v="94"/>
    <x v="1"/>
    <s v="P098"/>
    <x v="86"/>
    <x v="1"/>
    <n v="5"/>
    <n v="59"/>
    <n v="0"/>
    <n v="295"/>
    <x v="7"/>
    <x v="0"/>
    <s v="Concluída"/>
    <s v="Venda concluída"/>
    <m/>
  </r>
  <r>
    <x v="108"/>
    <x v="107"/>
    <s v="C099"/>
    <x v="95"/>
    <x v="0"/>
    <s v="P099"/>
    <x v="87"/>
    <x v="4"/>
    <n v="1"/>
    <n v="399"/>
    <n v="0"/>
    <n v="399"/>
    <x v="2"/>
    <x v="6"/>
    <s v="Concluída"/>
    <s v="Venda concluída"/>
    <m/>
  </r>
  <r>
    <x v="109"/>
    <x v="108"/>
    <s v="C100"/>
    <x v="96"/>
    <x v="3"/>
    <s v="P100"/>
    <x v="87"/>
    <x v="4"/>
    <n v="2"/>
    <n v="399"/>
    <n v="5"/>
    <n v="758.1"/>
    <x v="3"/>
    <x v="1"/>
    <s v="Concluída"/>
    <s v="Venda concluída"/>
    <m/>
  </r>
  <r>
    <x v="110"/>
    <x v="109"/>
    <s v="C101"/>
    <x v="97"/>
    <x v="0"/>
    <s v="P101"/>
    <x v="88"/>
    <x v="4"/>
    <n v="3"/>
    <n v="79"/>
    <n v="0"/>
    <n v="237"/>
    <x v="1"/>
    <x v="1"/>
    <s v="Concluída"/>
    <s v="Venda concluída"/>
    <m/>
  </r>
  <r>
    <x v="111"/>
    <x v="110"/>
    <s v="C102"/>
    <x v="98"/>
    <x v="1"/>
    <s v="P102"/>
    <x v="89"/>
    <x v="4"/>
    <n v="2"/>
    <n v="79"/>
    <n v="0"/>
    <n v="158"/>
    <x v="0"/>
    <x v="2"/>
    <s v="Concluída"/>
    <s v="Venda concluída"/>
    <m/>
  </r>
  <r>
    <x v="112"/>
    <x v="111"/>
    <s v="C103"/>
    <x v="99"/>
    <x v="2"/>
    <s v="P103"/>
    <x v="90"/>
    <x v="17"/>
    <n v="1"/>
    <n v="129"/>
    <n v="0"/>
    <n v="129"/>
    <x v="6"/>
    <x v="0"/>
    <s v="Concluída"/>
    <s v="Venda concluída"/>
    <m/>
  </r>
  <r>
    <x v="113"/>
    <x v="112"/>
    <s v="C104"/>
    <x v="100"/>
    <x v="3"/>
    <s v="P104"/>
    <x v="91"/>
    <x v="17"/>
    <n v="1"/>
    <n v="129"/>
    <n v="0"/>
    <n v="129"/>
    <x v="5"/>
    <x v="1"/>
    <s v="Concluída"/>
    <s v="Venda concluída"/>
    <m/>
  </r>
  <r>
    <x v="114"/>
    <x v="113"/>
    <s v="C105"/>
    <x v="101"/>
    <x v="0"/>
    <s v="P105"/>
    <x v="92"/>
    <x v="14"/>
    <n v="2"/>
    <n v="159"/>
    <n v="10"/>
    <n v="286.2"/>
    <x v="4"/>
    <x v="3"/>
    <s v="Concluída"/>
    <s v="Venda concluída"/>
    <m/>
  </r>
  <r>
    <x v="115"/>
    <x v="114"/>
    <s v="C106"/>
    <x v="102"/>
    <x v="6"/>
    <s v="P106"/>
    <x v="93"/>
    <x v="14"/>
    <n v="1"/>
    <n v="159"/>
    <n v="0"/>
    <n v="159"/>
    <x v="0"/>
    <x v="1"/>
    <s v="Cancelada"/>
    <s v="Venda cancelada"/>
    <m/>
  </r>
  <r>
    <x v="116"/>
    <x v="115"/>
    <s v="C107"/>
    <x v="103"/>
    <x v="7"/>
    <s v="P107"/>
    <x v="94"/>
    <x v="14"/>
    <n v="1"/>
    <n v="89"/>
    <n v="0"/>
    <n v="89"/>
    <x v="1"/>
    <x v="2"/>
    <s v="Concluída"/>
    <s v="Venda concluída"/>
    <m/>
  </r>
  <r>
    <x v="117"/>
    <x v="116"/>
    <s v="C108"/>
    <x v="104"/>
    <x v="3"/>
    <s v="P108"/>
    <x v="95"/>
    <x v="14"/>
    <n v="2"/>
    <n v="89"/>
    <n v="0"/>
    <n v="178"/>
    <x v="2"/>
    <x v="1"/>
    <s v="Concluída"/>
    <s v="Venda concluída"/>
    <m/>
  </r>
  <r>
    <x v="118"/>
    <x v="117"/>
    <s v="C109"/>
    <x v="81"/>
    <x v="0"/>
    <s v="P109"/>
    <x v="96"/>
    <x v="14"/>
    <n v="3"/>
    <n v="25"/>
    <n v="0"/>
    <n v="75"/>
    <x v="6"/>
    <x v="4"/>
    <s v="Concluída"/>
    <s v="Venda concluída"/>
    <m/>
  </r>
  <r>
    <x v="119"/>
    <x v="118"/>
    <s v="C110"/>
    <x v="105"/>
    <x v="8"/>
    <s v="P110"/>
    <x v="97"/>
    <x v="14"/>
    <n v="2"/>
    <n v="25"/>
    <n v="0"/>
    <n v="50"/>
    <x v="6"/>
    <x v="4"/>
    <s v="Concluída"/>
    <s v="Venda concluída"/>
    <m/>
  </r>
  <r>
    <x v="120"/>
    <x v="119"/>
    <s v="C111"/>
    <x v="106"/>
    <x v="4"/>
    <s v="P111"/>
    <x v="98"/>
    <x v="0"/>
    <n v="1"/>
    <n v="699"/>
    <n v="25"/>
    <n v="524.25"/>
    <x v="0"/>
    <x v="1"/>
    <s v="Concluída"/>
    <s v="Venda concluída"/>
    <m/>
  </r>
  <r>
    <x v="121"/>
    <x v="120"/>
    <s v="C112"/>
    <x v="107"/>
    <x v="1"/>
    <s v="P112"/>
    <x v="99"/>
    <x v="0"/>
    <n v="1"/>
    <n v="699"/>
    <n v="25"/>
    <n v="524.25"/>
    <x v="0"/>
    <x v="1"/>
    <s v="Concluída"/>
    <s v="Venda concluída"/>
    <m/>
  </r>
  <r>
    <x v="122"/>
    <x v="121"/>
    <s v="C113"/>
    <x v="108"/>
    <x v="0"/>
    <s v="P113"/>
    <x v="100"/>
    <x v="3"/>
    <n v="2"/>
    <n v="35"/>
    <n v="0"/>
    <n v="70"/>
    <x v="1"/>
    <x v="2"/>
    <s v="Concluída"/>
    <s v="Venda concluída"/>
    <m/>
  </r>
  <r>
    <x v="123"/>
    <x v="122"/>
    <s v="C114"/>
    <x v="109"/>
    <x v="5"/>
    <s v="P114"/>
    <x v="101"/>
    <x v="13"/>
    <n v="2"/>
    <n v="35"/>
    <n v="0"/>
    <n v="70"/>
    <x v="2"/>
    <x v="0"/>
    <s v="Concluída"/>
    <s v="Venda concluída"/>
    <m/>
  </r>
  <r>
    <x v="124"/>
    <x v="123"/>
    <s v="C115"/>
    <x v="110"/>
    <x v="3"/>
    <s v="P115"/>
    <x v="102"/>
    <x v="18"/>
    <n v="1"/>
    <n v="499"/>
    <n v="0"/>
    <n v="499"/>
    <x v="5"/>
    <x v="1"/>
    <s v="Concluída"/>
    <s v="Venda concluída"/>
    <m/>
  </r>
  <r>
    <x v="125"/>
    <x v="124"/>
    <s v="C116"/>
    <x v="111"/>
    <x v="2"/>
    <s v="P001"/>
    <x v="0"/>
    <x v="0"/>
    <n v="2"/>
    <n v="185"/>
    <n v="0"/>
    <n v="370"/>
    <x v="5"/>
    <x v="1"/>
    <s v="Concluída"/>
    <s v="Venda concluída"/>
    <s v="Preço diferente do catálogo"/>
  </r>
  <r>
    <x v="126"/>
    <x v="125"/>
    <s v="C117"/>
    <x v="112"/>
    <x v="9"/>
    <s v="P002"/>
    <x v="3"/>
    <x v="1"/>
    <n v="1"/>
    <n v="75"/>
    <n v="0"/>
    <n v="75"/>
    <x v="6"/>
    <x v="2"/>
    <s v="Concluída"/>
    <s v="Venda concluída"/>
    <m/>
  </r>
  <r>
    <x v="127"/>
    <x v="126"/>
    <s v="C118"/>
    <x v="112"/>
    <x v="9"/>
    <s v="P003"/>
    <x v="2"/>
    <x v="1"/>
    <n v="15"/>
    <n v="24"/>
    <n v="0"/>
    <n v="360"/>
    <x v="6"/>
    <x v="2"/>
    <s v="Concluída"/>
    <s v="Venda concluída"/>
    <s v="Preço alterado"/>
  </r>
  <r>
    <x v="128"/>
    <x v="127"/>
    <s v="C119"/>
    <x v="113"/>
    <x v="0"/>
    <s v="P004"/>
    <x v="1"/>
    <x v="0"/>
    <n v="1"/>
    <n v="850"/>
    <n v="0"/>
    <n v="850"/>
    <x v="1"/>
    <x v="1"/>
    <s v="Pendente"/>
    <s v="Venda pendente"/>
    <m/>
  </r>
  <r>
    <x v="129"/>
    <x v="128"/>
    <s v="C120"/>
    <x v="114"/>
    <x v="11"/>
    <s v="P005"/>
    <x v="4"/>
    <x v="1"/>
    <n v="2"/>
    <n v="60"/>
    <n v="0"/>
    <n v="120"/>
    <x v="1"/>
    <x v="1"/>
    <s v="Concluída"/>
    <s v="Venda concluída"/>
    <m/>
  </r>
  <r>
    <x v="130"/>
    <x v="129"/>
    <s v="C121"/>
    <x v="115"/>
    <x v="1"/>
    <s v="P006"/>
    <x v="5"/>
    <x v="2"/>
    <n v="3"/>
    <n v="120"/>
    <n v="5"/>
    <n v="342"/>
    <x v="0"/>
    <x v="1"/>
    <s v="Concluída"/>
    <s v="Venda concluída"/>
    <m/>
  </r>
  <r>
    <x v="131"/>
    <x v="130"/>
    <s v="C122"/>
    <x v="116"/>
    <x v="0"/>
    <s v="P007"/>
    <x v="6"/>
    <x v="2"/>
    <n v="2"/>
    <n v="120"/>
    <n v="5"/>
    <n v="228"/>
    <x v="0"/>
    <x v="1"/>
    <s v="Concluída"/>
    <s v="Venda concluída"/>
    <m/>
  </r>
  <r>
    <x v="132"/>
    <x v="131"/>
    <s v="C123"/>
    <x v="117"/>
    <x v="3"/>
    <s v="P008"/>
    <x v="7"/>
    <x v="2"/>
    <n v="2"/>
    <n v="119.99"/>
    <n v="0"/>
    <n v="239.98"/>
    <x v="1"/>
    <x v="2"/>
    <s v="Concluída"/>
    <s v="Venda concluída"/>
    <m/>
  </r>
  <r>
    <x v="133"/>
    <x v="132"/>
    <s v="C124"/>
    <x v="118"/>
    <x v="2"/>
    <s v="P009"/>
    <x v="8"/>
    <x v="3"/>
    <n v="1"/>
    <n v="210"/>
    <n v="0"/>
    <n v="210"/>
    <x v="2"/>
    <x v="1"/>
    <s v="Concluída"/>
    <s v="Venda concluída"/>
    <m/>
  </r>
  <r>
    <x v="134"/>
    <x v="133"/>
    <s v="C125"/>
    <x v="119"/>
    <x v="8"/>
    <s v="P010"/>
    <x v="9"/>
    <x v="3"/>
    <n v="8"/>
    <n v="35"/>
    <n v="20"/>
    <n v="224"/>
    <x v="7"/>
    <x v="0"/>
    <s v="Concluída"/>
    <s v="Venda concluída"/>
    <m/>
  </r>
  <r>
    <x v="135"/>
    <x v="134"/>
    <s v="C126"/>
    <x v="120"/>
    <x v="0"/>
    <s v="P011"/>
    <x v="10"/>
    <x v="4"/>
    <n v="2"/>
    <n v="95"/>
    <n v="0"/>
    <n v="190"/>
    <x v="1"/>
    <x v="1"/>
    <s v="Concluída"/>
    <s v="Venda concluída"/>
    <m/>
  </r>
  <r>
    <x v="136"/>
    <x v="135"/>
    <s v="C127"/>
    <x v="121"/>
    <x v="1"/>
    <s v="P012"/>
    <x v="11"/>
    <x v="4"/>
    <n v="1"/>
    <n v="70"/>
    <n v="0"/>
    <n v="70"/>
    <x v="3"/>
    <x v="2"/>
    <s v="Concluída"/>
    <s v="Venda concluída"/>
    <m/>
  </r>
  <r>
    <x v="137"/>
    <x v="136"/>
    <s v="C128"/>
    <x v="122"/>
    <x v="4"/>
    <s v="P013"/>
    <x v="12"/>
    <x v="5"/>
    <n v="25"/>
    <n v="12"/>
    <n v="0"/>
    <n v="300"/>
    <x v="2"/>
    <x v="0"/>
    <s v="Concluída"/>
    <s v="Venda concluída"/>
    <m/>
  </r>
  <r>
    <x v="138"/>
    <x v="137"/>
    <s v="C129"/>
    <x v="0"/>
    <x v="0"/>
    <s v="P014"/>
    <x v="13"/>
    <x v="5"/>
    <n v="25"/>
    <n v="12"/>
    <n v="0"/>
    <n v="300"/>
    <x v="2"/>
    <x v="0"/>
    <s v="Concluída"/>
    <s v="Venda concluída"/>
    <s v="Possível venda duplicada"/>
  </r>
  <r>
    <x v="139"/>
    <x v="138"/>
    <s v="C130"/>
    <x v="123"/>
    <x v="3"/>
    <s v="P015"/>
    <x v="14"/>
    <x v="2"/>
    <n v="5"/>
    <n v="15"/>
    <n v="0"/>
    <n v="75"/>
    <x v="1"/>
    <x v="1"/>
    <s v="Concluída"/>
    <s v="Venda concluída"/>
    <m/>
  </r>
  <r>
    <x v="140"/>
    <x v="139"/>
    <s v="C131"/>
    <x v="124"/>
    <x v="5"/>
    <s v="P016"/>
    <x v="15"/>
    <x v="2"/>
    <n v="5"/>
    <n v="15"/>
    <n v="0"/>
    <n v="75"/>
    <x v="1"/>
    <x v="1"/>
    <s v="Concluída"/>
    <s v="Venda concluída"/>
    <s v="Produto com stock negativo"/>
  </r>
  <r>
    <x v="141"/>
    <x v="140"/>
    <s v="C132"/>
    <x v="58"/>
    <x v="0"/>
    <s v="P017"/>
    <x v="16"/>
    <x v="1"/>
    <n v="2"/>
    <n v="55"/>
    <n v="0"/>
    <n v="110"/>
    <x v="0"/>
    <x v="2"/>
    <s v="Concluída"/>
    <s v="Venda concluída"/>
    <m/>
  </r>
  <r>
    <x v="142"/>
    <x v="141"/>
    <s v="C133"/>
    <x v="125"/>
    <x v="1"/>
    <s v="P018"/>
    <x v="17"/>
    <x v="6"/>
    <n v="1"/>
    <n v="80"/>
    <n v="0"/>
    <n v="80"/>
    <x v="6"/>
    <x v="1"/>
    <s v="Concluída"/>
    <s v="Venda concluída"/>
    <m/>
  </r>
  <r>
    <x v="143"/>
    <x v="142"/>
    <s v="C134"/>
    <x v="126"/>
    <x v="3"/>
    <s v="P019"/>
    <x v="17"/>
    <x v="7"/>
    <n v="1"/>
    <n v="80"/>
    <n v="0"/>
    <n v="80"/>
    <x v="6"/>
    <x v="1"/>
    <s v="Concluída"/>
    <s v="Venda concluída"/>
    <m/>
  </r>
  <r>
    <x v="144"/>
    <x v="143"/>
    <s v="C135"/>
    <x v="127"/>
    <x v="2"/>
    <s v="P020"/>
    <x v="18"/>
    <x v="7"/>
    <n v="4"/>
    <n v="65"/>
    <n v="10"/>
    <n v="234"/>
    <x v="5"/>
    <x v="0"/>
    <s v="Concluída"/>
    <s v="Venda concluída"/>
    <m/>
  </r>
  <r>
    <x v="145"/>
    <x v="144"/>
    <s v="C136"/>
    <x v="128"/>
    <x v="0"/>
    <s v="P021"/>
    <x v="19"/>
    <x v="1"/>
    <n v="2"/>
    <n v="79"/>
    <n v="0"/>
    <n v="158"/>
    <x v="0"/>
    <x v="1"/>
    <s v="Concluída"/>
    <s v="Venda concluída"/>
    <m/>
  </r>
  <r>
    <x v="146"/>
    <x v="145"/>
    <s v="C137"/>
    <x v="129"/>
    <x v="1"/>
    <s v="P022"/>
    <x v="19"/>
    <x v="1"/>
    <n v="2"/>
    <n v="79"/>
    <n v="0"/>
    <n v="158"/>
    <x v="0"/>
    <x v="1"/>
    <s v="Concluída"/>
    <s v="Venda concluída"/>
    <m/>
  </r>
  <r>
    <x v="147"/>
    <x v="146"/>
    <s v="C138"/>
    <x v="130"/>
    <x v="3"/>
    <s v="P023"/>
    <x v="20"/>
    <x v="8"/>
    <n v="20"/>
    <n v="4.5"/>
    <n v="0"/>
    <n v="90"/>
    <x v="1"/>
    <x v="0"/>
    <s v="Concluída"/>
    <s v="Venda concluída"/>
    <m/>
  </r>
  <r>
    <x v="148"/>
    <x v="147"/>
    <s v="C139"/>
    <x v="131"/>
    <x v="0"/>
    <s v="P024"/>
    <x v="21"/>
    <x v="9"/>
    <n v="1"/>
    <n v="185"/>
    <n v="0"/>
    <n v="185"/>
    <x v="2"/>
    <x v="1"/>
    <s v="Concluída"/>
    <s v="Venda concluída"/>
    <m/>
  </r>
  <r>
    <x v="149"/>
    <x v="148"/>
    <s v="C140"/>
    <x v="95"/>
    <x v="6"/>
    <s v="P025"/>
    <x v="22"/>
    <x v="9"/>
    <n v="1"/>
    <n v="249"/>
    <n v="50"/>
    <n v="124.5"/>
    <x v="5"/>
    <x v="1"/>
    <s v="Concluída"/>
    <s v="Venda concluída"/>
    <s v="Campanha promocional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6000000}" name="PivotTable8" cacheId="72" applyNumberFormats="0" applyBorderFormats="0" applyFontFormats="0" applyPatternFormats="0" applyAlignmentFormats="0" applyWidthHeightFormats="0" dataCaption="Values" updatedVersion="8" itemPrintTitles="1" indent="0" outline="1" outlineData="1" chartFormat="1">
  <location ref="AK5:AL12" firstHeaderRow="1" firstDataRow="1" firstDataCol="1" rowPageCount="1" colPageCount="1"/>
  <pivotFields count="20">
    <pivotField axis="axisPage" showAll="0">
      <items count="1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h="1" x="30"/>
        <item h="1" x="31"/>
        <item x="32"/>
        <item x="33"/>
        <item h="1" x="34"/>
        <item x="35"/>
        <item x="36"/>
        <item x="37"/>
        <item h="1"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h="1"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h="1"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t="default"/>
      </items>
    </pivotField>
    <pivotField axis="axisRow" showAll="0">
      <items count="1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 includeNewItemsInFilter="1">
      <items count="15">
        <item x="0"/>
        <item sd="0" x="1"/>
        <item sd="0" x="2"/>
        <item sd="0" x="3"/>
        <item sd="0" x="4"/>
        <item sd="0" x="5"/>
        <item x="6"/>
        <item x="7"/>
        <item x="8"/>
        <item x="9"/>
        <item x="10"/>
        <item x="11"/>
        <item x="12"/>
        <item x="13"/>
        <item t="default"/>
      </items>
    </pivotField>
    <pivotField showAll="0" includeNewItemsInFilter="1">
      <items count="7">
        <item x="0"/>
        <item x="1"/>
        <item x="2"/>
        <item x="3"/>
        <item x="4"/>
        <item x="5"/>
        <item t="default"/>
      </items>
    </pivotField>
    <pivotField axis="axisRow" showAll="0" includeNewItemsInFilter="1">
      <items count="5">
        <item x="0"/>
        <item x="1"/>
        <item x="2"/>
        <item x="3"/>
        <item t="default"/>
      </items>
    </pivotField>
  </pivotFields>
  <rowFields count="3">
    <field x="19"/>
    <field x="17"/>
    <field x="1"/>
  </rowFields>
  <rowItems count="7">
    <i>
      <x v="1"/>
    </i>
    <i r="1">
      <x v="1"/>
    </i>
    <i r="1">
      <x v="2"/>
    </i>
    <i r="1">
      <x v="3"/>
    </i>
    <i r="1">
      <x v="4"/>
    </i>
    <i r="1">
      <x v="5"/>
    </i>
    <i t="grand">
      <x/>
    </i>
  </rowItems>
  <colItems count="1">
    <i/>
  </colItems>
  <pageFields count="1">
    <pageField fld="0" hier="-1"/>
  </pageFields>
  <dataFields count="1">
    <dataField name="Sum of Valor_Total" fld="11" baseField="0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PivotTable5" cacheId="72" applyNumberFormats="0" applyBorderFormats="0" applyFontFormats="0" applyPatternFormats="0" applyAlignmentFormats="0" applyWidthHeightFormats="0" dataCaption="Values" updatedVersion="8" itemPrintTitles="1" indent="0" outline="1" outlineData="1">
  <location ref="O5:Q136" firstHeaderRow="1" firstDataRow="2" firstDataCol="1" rowPageCount="1" colPageCount="1"/>
  <pivotFields count="20">
    <pivotField axis="axisPage" dataField="1" showAll="0">
      <items count="1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h="1" x="30"/>
        <item h="1" x="31"/>
        <item x="32"/>
        <item x="33"/>
        <item h="1"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h="1"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h="1"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t="default"/>
      </items>
    </pivotField>
    <pivotField showAll="0">
      <items count="1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37"/>
        <item t="default"/>
      </items>
    </pivotField>
    <pivotField showAll="0"/>
    <pivotField axis="axisRow" showAll="0">
      <items count="133">
        <item x="74"/>
        <item x="2"/>
        <item x="125"/>
        <item x="21"/>
        <item x="46"/>
        <item x="116"/>
        <item x="64"/>
        <item x="86"/>
        <item x="104"/>
        <item x="26"/>
        <item x="78"/>
        <item x="120"/>
        <item x="65"/>
        <item x="18"/>
        <item x="75"/>
        <item x="42"/>
        <item x="108"/>
        <item x="13"/>
        <item x="47"/>
        <item x="103"/>
        <item x="61"/>
        <item x="6"/>
        <item x="92"/>
        <item x="131"/>
        <item x="107"/>
        <item x="15"/>
        <item x="66"/>
        <item x="124"/>
        <item x="28"/>
        <item x="130"/>
        <item x="31"/>
        <item x="76"/>
        <item x="29"/>
        <item x="30"/>
        <item x="117"/>
        <item x="68"/>
        <item x="17"/>
        <item x="84"/>
        <item x="105"/>
        <item x="51"/>
        <item x="98"/>
        <item x="119"/>
        <item x="40"/>
        <item x="121"/>
        <item x="90"/>
        <item x="52"/>
        <item x="95"/>
        <item x="67"/>
        <item x="101"/>
        <item x="22"/>
        <item x="34"/>
        <item x="81"/>
        <item x="8"/>
        <item x="55"/>
        <item x="23"/>
        <item x="12"/>
        <item x="87"/>
        <item x="115"/>
        <item x="59"/>
        <item x="14"/>
        <item x="36"/>
        <item x="100"/>
        <item x="69"/>
        <item x="0"/>
        <item x="25"/>
        <item x="48"/>
        <item x="112"/>
        <item x="82"/>
        <item x="111"/>
        <item x="39"/>
        <item x="83"/>
        <item x="62"/>
        <item x="94"/>
        <item x="19"/>
        <item x="53"/>
        <item x="127"/>
        <item x="1"/>
        <item x="109"/>
        <item x="89"/>
        <item x="33"/>
        <item x="118"/>
        <item x="70"/>
        <item x="20"/>
        <item x="102"/>
        <item x="44"/>
        <item x="77"/>
        <item x="5"/>
        <item x="58"/>
        <item x="27"/>
        <item x="49"/>
        <item x="99"/>
        <item x="60"/>
        <item x="32"/>
        <item x="63"/>
        <item x="10"/>
        <item x="91"/>
        <item x="45"/>
        <item x="114"/>
        <item x="41"/>
        <item x="71"/>
        <item x="110"/>
        <item x="88"/>
        <item x="56"/>
        <item x="3"/>
        <item x="126"/>
        <item x="50"/>
        <item x="123"/>
        <item x="54"/>
        <item x="7"/>
        <item x="38"/>
        <item x="73"/>
        <item x="97"/>
        <item x="24"/>
        <item x="93"/>
        <item x="113"/>
        <item x="11"/>
        <item x="80"/>
        <item x="122"/>
        <item x="35"/>
        <item x="57"/>
        <item x="16"/>
        <item x="4"/>
        <item x="72"/>
        <item x="106"/>
        <item x="43"/>
        <item x="85"/>
        <item x="9"/>
        <item x="128"/>
        <item x="96"/>
        <item x="79"/>
        <item x="37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includeNewItemsInFilter="1">
      <items count="7">
        <item x="0"/>
        <item x="1"/>
        <item x="2"/>
        <item x="3"/>
        <item x="4"/>
        <item x="5"/>
        <item t="default"/>
      </items>
    </pivotField>
    <pivotField showAll="0" includeNewItemsInFilter="1">
      <items count="5">
        <item x="0"/>
        <item x="1"/>
        <item x="2"/>
        <item x="3"/>
        <item t="default"/>
      </items>
    </pivotField>
  </pivotFields>
  <rowFields count="1">
    <field x="3"/>
  </rowFields>
  <rowItems count="1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Count of ID_Venda" fld="0" subtotal="count" baseField="0" baseItem="0"/>
    <dataField name="Sum of Valor_Total" fld="11" baseField="0" baseItem="0" numFmtId="164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PivotTable6" cacheId="72" applyNumberFormats="0" applyBorderFormats="0" applyFontFormats="0" applyPatternFormats="0" applyAlignmentFormats="0" applyWidthHeightFormats="0" dataCaption="Values" updatedVersion="8" itemPrintTitles="1" indent="0" outline="1" outlineData="1">
  <location ref="AA5:AC15" firstHeaderRow="1" firstDataRow="2" firstDataCol="1" rowPageCount="1" colPageCount="1"/>
  <pivotFields count="20">
    <pivotField axis="axisPage" dataField="1" showAll="0">
      <items count="1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h="1" x="30"/>
        <item h="1" x="31"/>
        <item x="32"/>
        <item x="33"/>
        <item h="1"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h="1"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h="1"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t="default"/>
      </items>
    </pivotField>
    <pivotField showAll="0">
      <items count="1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 sortType="descending">
      <items count="9">
        <item x="0"/>
        <item x="3"/>
        <item x="1"/>
        <item x="4"/>
        <item x="2"/>
        <item x="6"/>
        <item x="5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includeNewItemsInFilter="1">
      <items count="7">
        <item x="0"/>
        <item x="1"/>
        <item x="2"/>
        <item x="3"/>
        <item x="4"/>
        <item x="5"/>
        <item t="default"/>
      </items>
    </pivotField>
    <pivotField showAll="0" includeNewItemsInFilter="1">
      <items count="5">
        <item x="0"/>
        <item x="1"/>
        <item x="2"/>
        <item x="3"/>
        <item t="default"/>
      </items>
    </pivotField>
  </pivotFields>
  <rowFields count="1">
    <field x="12"/>
  </rowFields>
  <rowItems count="9">
    <i>
      <x/>
    </i>
    <i>
      <x v="2"/>
    </i>
    <i>
      <x v="4"/>
    </i>
    <i>
      <x v="5"/>
    </i>
    <i>
      <x v="6"/>
    </i>
    <i>
      <x v="7"/>
    </i>
    <i>
      <x v="1"/>
    </i>
    <i>
      <x v="3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um of Valor_Total" fld="11" baseField="0" baseItem="0" numFmtId="164"/>
    <dataField name="Count of ID_Venda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PivotTable1" cacheId="72" applyNumberFormats="0" applyBorderFormats="0" applyFontFormats="0" applyPatternFormats="0" applyAlignmentFormats="0" applyWidthHeightFormats="0" dataCaption="Values" updatedVersion="8" itemPrintTitles="1" indent="0" outline="1" outlineData="1">
  <location ref="A5:B106" firstHeaderRow="1" firstDataRow="1" firstDataCol="1" rowPageCount="1" colPageCount="1"/>
  <pivotFields count="20">
    <pivotField axis="axisPage" showAll="0">
      <items count="1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h="1" x="30"/>
        <item h="1" x="31"/>
        <item x="32"/>
        <item x="33"/>
        <item h="1"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h="1"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h="1"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t="default"/>
      </items>
    </pivotField>
    <pivotField showAll="0">
      <items count="1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37"/>
        <item t="default"/>
      </items>
    </pivotField>
    <pivotField showAll="0"/>
    <pivotField showAll="0"/>
    <pivotField showAll="0"/>
    <pivotField showAll="0"/>
    <pivotField axis="axisRow" showAll="0">
      <items count="104">
        <item x="89"/>
        <item x="54"/>
        <item x="55"/>
        <item x="94"/>
        <item x="95"/>
        <item x="69"/>
        <item x="70"/>
        <item x="43"/>
        <item x="42"/>
        <item x="88"/>
        <item x="66"/>
        <item x="65"/>
        <item x="13"/>
        <item x="12"/>
        <item x="21"/>
        <item x="46"/>
        <item x="84"/>
        <item x="47"/>
        <item x="32"/>
        <item x="31"/>
        <item x="17"/>
        <item x="49"/>
        <item x="48"/>
        <item x="7"/>
        <item x="36"/>
        <item x="35"/>
        <item x="56"/>
        <item x="16"/>
        <item x="34"/>
        <item x="33"/>
        <item x="8"/>
        <item x="60"/>
        <item x="59"/>
        <item x="58"/>
        <item x="57"/>
        <item x="41"/>
        <item x="40"/>
        <item x="67"/>
        <item x="92"/>
        <item x="18"/>
        <item x="96"/>
        <item x="97"/>
        <item x="73"/>
        <item x="71"/>
        <item x="72"/>
        <item x="0"/>
        <item x="24"/>
        <item x="25"/>
        <item x="23"/>
        <item x="75"/>
        <item x="74"/>
        <item x="62"/>
        <item x="61"/>
        <item x="44"/>
        <item x="79"/>
        <item x="50"/>
        <item x="51"/>
        <item x="20"/>
        <item x="15"/>
        <item x="14"/>
        <item x="1"/>
        <item x="29"/>
        <item x="30"/>
        <item x="28"/>
        <item x="102"/>
        <item x="38"/>
        <item x="37"/>
        <item x="2"/>
        <item x="78"/>
        <item x="52"/>
        <item x="10"/>
        <item x="39"/>
        <item x="101"/>
        <item x="100"/>
        <item x="22"/>
        <item x="82"/>
        <item x="83"/>
        <item x="27"/>
        <item x="6"/>
        <item x="5"/>
        <item x="81"/>
        <item x="80"/>
        <item x="53"/>
        <item x="11"/>
        <item x="87"/>
        <item x="26"/>
        <item x="98"/>
        <item x="99"/>
        <item x="45"/>
        <item x="3"/>
        <item x="77"/>
        <item x="76"/>
        <item x="9"/>
        <item x="64"/>
        <item x="63"/>
        <item x="91"/>
        <item x="90"/>
        <item x="85"/>
        <item x="19"/>
        <item x="4"/>
        <item x="86"/>
        <item x="68"/>
        <item x="9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includeNewItemsInFilter="1">
      <items count="7">
        <item x="0"/>
        <item x="1"/>
        <item x="2"/>
        <item x="3"/>
        <item x="4"/>
        <item x="5"/>
        <item t="default"/>
      </items>
    </pivotField>
    <pivotField showAll="0" includeNewItemsInFilter="1">
      <items count="5">
        <item x="0"/>
        <item x="1"/>
        <item x="2"/>
        <item x="3"/>
        <item t="default"/>
      </items>
    </pivotField>
  </pivotFields>
  <rowFields count="1">
    <field x="6"/>
  </rowFields>
  <rowItems count="1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 t="grand">
      <x/>
    </i>
  </rowItems>
  <colItems count="1">
    <i/>
  </colItems>
  <pageFields count="1">
    <pageField fld="0" hier="-1"/>
  </pageFields>
  <dataFields count="1">
    <dataField name="Sum of Quantidade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7000000}" name="PivotTable7" cacheId="72" applyNumberFormats="0" applyBorderFormats="0" applyFontFormats="0" applyPatternFormats="0" applyAlignmentFormats="0" applyWidthHeightFormats="0" dataCaption="Values" updatedVersion="8" itemPrintTitles="1" indent="0" outline="1" outlineData="1" chartFormat="1">
  <location ref="AE5:AF23" firstHeaderRow="1" firstDataRow="1" firstDataCol="1" rowPageCount="1" colPageCount="1"/>
  <pivotFields count="20">
    <pivotField axis="axisPage" showAll="0">
      <items count="1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h="1" x="30"/>
        <item h="1" x="31"/>
        <item x="32"/>
        <item x="33"/>
        <item h="1"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h="1"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h="1"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t="default"/>
      </items>
    </pivotField>
    <pivotField showAll="0">
      <items count="1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37"/>
        <item t="default"/>
      </items>
    </pivotField>
    <pivotField showAll="0"/>
    <pivotField showAll="0"/>
    <pivotField showAll="0"/>
    <pivotField showAll="0"/>
    <pivotField showAll="0"/>
    <pivotField axis="axisRow" showAll="0" sortType="descending">
      <items count="20">
        <item x="5"/>
        <item x="2"/>
        <item x="6"/>
        <item x="7"/>
        <item x="17"/>
        <item x="8"/>
        <item x="12"/>
        <item x="13"/>
        <item x="3"/>
        <item x="0"/>
        <item x="9"/>
        <item x="1"/>
        <item x="16"/>
        <item x="4"/>
        <item x="15"/>
        <item x="14"/>
        <item x="10"/>
        <item x="18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includeNewItemsInFilter="1">
      <items count="7">
        <item x="0"/>
        <item x="1"/>
        <item x="2"/>
        <item x="3"/>
        <item x="4"/>
        <item x="5"/>
        <item t="default"/>
      </items>
    </pivotField>
    <pivotField showAll="0" includeNewItemsInFilter="1">
      <items count="5">
        <item x="0"/>
        <item x="1"/>
        <item x="2"/>
        <item x="3"/>
        <item t="default"/>
      </items>
    </pivotField>
  </pivotFields>
  <rowFields count="1">
    <field x="7"/>
  </rowFields>
  <rowItems count="18">
    <i>
      <x v="9"/>
    </i>
    <i>
      <x v="13"/>
    </i>
    <i>
      <x v="1"/>
    </i>
    <i>
      <x v="16"/>
    </i>
    <i>
      <x v="11"/>
    </i>
    <i>
      <x v="15"/>
    </i>
    <i>
      <x/>
    </i>
    <i>
      <x v="12"/>
    </i>
    <i>
      <x v="8"/>
    </i>
    <i>
      <x v="6"/>
    </i>
    <i>
      <x v="10"/>
    </i>
    <i>
      <x v="4"/>
    </i>
    <i>
      <x v="3"/>
    </i>
    <i>
      <x v="2"/>
    </i>
    <i>
      <x v="14"/>
    </i>
    <i>
      <x v="7"/>
    </i>
    <i>
      <x v="5"/>
    </i>
    <i t="grand">
      <x/>
    </i>
  </rowItems>
  <colItems count="1">
    <i/>
  </colItems>
  <pageFields count="1">
    <pageField fld="0" hier="-1"/>
  </pageFields>
  <dataFields count="1">
    <dataField name="Sum of Valor_Total" fld="11" baseField="0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3" cacheId="72" applyNumberFormats="0" applyBorderFormats="0" applyFontFormats="0" applyPatternFormats="0" applyAlignmentFormats="0" applyWidthHeightFormats="0" dataCaption="Values" updatedVersion="8" itemPrintTitles="1" indent="0" outline="1" outlineData="1" chartFormat="1">
  <location ref="G5:H17" firstHeaderRow="1" firstDataRow="1" firstDataCol="1" rowPageCount="1" colPageCount="1"/>
  <pivotFields count="20">
    <pivotField axis="axisPage" showAll="0">
      <items count="1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h="1" x="30"/>
        <item h="1" x="31"/>
        <item x="32"/>
        <item x="33"/>
        <item h="1"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h="1"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h="1"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t="default"/>
      </items>
    </pivotField>
    <pivotField showAll="0">
      <items count="1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37"/>
        <item t="default"/>
      </items>
    </pivotField>
    <pivotField showAll="0"/>
    <pivotField showAll="0"/>
    <pivotField axis="axisRow" showAll="0" sortType="descending">
      <items count="13">
        <item x="4"/>
        <item x="3"/>
        <item x="2"/>
        <item x="9"/>
        <item x="5"/>
        <item x="11"/>
        <item x="8"/>
        <item x="0"/>
        <item x="1"/>
        <item x="6"/>
        <item x="7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includeNewItemsInFilter="1">
      <items count="7">
        <item x="0"/>
        <item x="1"/>
        <item x="2"/>
        <item x="3"/>
        <item x="4"/>
        <item x="5"/>
        <item t="default"/>
      </items>
    </pivotField>
    <pivotField showAll="0" includeNewItemsInFilter="1">
      <items count="5">
        <item x="0"/>
        <item x="1"/>
        <item x="2"/>
        <item x="3"/>
        <item t="default"/>
      </items>
    </pivotField>
  </pivotFields>
  <rowFields count="1">
    <field x="4"/>
  </rowFields>
  <rowItems count="12">
    <i>
      <x v="7"/>
    </i>
    <i>
      <x v="8"/>
    </i>
    <i>
      <x v="1"/>
    </i>
    <i>
      <x v="6"/>
    </i>
    <i>
      <x v="2"/>
    </i>
    <i>
      <x v="5"/>
    </i>
    <i>
      <x v="4"/>
    </i>
    <i>
      <x/>
    </i>
    <i>
      <x v="10"/>
    </i>
    <i>
      <x v="9"/>
    </i>
    <i>
      <x v="3"/>
    </i>
    <i t="grand">
      <x/>
    </i>
  </rowItems>
  <colItems count="1">
    <i/>
  </colItems>
  <pageFields count="1">
    <pageField fld="0" hier="-1"/>
  </pageFields>
  <dataFields count="1">
    <dataField name="Sum of Valor_Total" fld="11" baseField="0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PivotTable4" cacheId="72" applyNumberFormats="0" applyBorderFormats="0" applyFontFormats="0" applyPatternFormats="0" applyAlignmentFormats="0" applyWidthHeightFormats="0" dataCaption="Values" updatedVersion="8" itemPrintTitles="1" indent="0" outline="1" outlineData="1">
  <location ref="J5:M14" firstHeaderRow="1" firstDataRow="2" firstDataCol="1" rowPageCount="1" colPageCount="1"/>
  <pivotFields count="20">
    <pivotField axis="axisPage" dataField="1" showAll="0">
      <items count="1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h="1" x="30"/>
        <item h="1" x="31"/>
        <item x="32"/>
        <item x="33"/>
        <item h="1"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h="1"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h="1"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t="default"/>
      </items>
    </pivotField>
    <pivotField showAll="0">
      <items count="1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 sortType="descending">
      <items count="8">
        <item x="3"/>
        <item x="5"/>
        <item x="0"/>
        <item x="2"/>
        <item x="6"/>
        <item x="4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includeNewItemsInFilter="1">
      <items count="7">
        <item x="0"/>
        <item x="1"/>
        <item x="2"/>
        <item x="3"/>
        <item x="4"/>
        <item x="5"/>
        <item t="default"/>
      </items>
    </pivotField>
    <pivotField showAll="0" includeNewItemsInFilter="1">
      <items count="5">
        <item x="0"/>
        <item x="1"/>
        <item x="2"/>
        <item x="3"/>
        <item t="default"/>
      </items>
    </pivotField>
  </pivotFields>
  <rowFields count="1">
    <field x="13"/>
  </rowFields>
  <rowItems count="8">
    <i>
      <x v="6"/>
    </i>
    <i>
      <x v="3"/>
    </i>
    <i>
      <x v="2"/>
    </i>
    <i>
      <x v="5"/>
    </i>
    <i>
      <x v="4"/>
    </i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um of Valor_Total" fld="11" baseField="0" baseItem="0" numFmtId="164"/>
    <dataField name="Average of Valor_Total" fld="11" subtotal="average" baseField="0" baseItem="0" numFmtId="164"/>
    <dataField name="Count of ID_Venda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2" cacheId="72" applyNumberFormats="0" applyBorderFormats="0" applyFontFormats="0" applyPatternFormats="0" applyAlignmentFormats="0" applyWidthHeightFormats="0" dataCaption="Values" updatedVersion="8" itemPrintTitles="1" indent="0" outline="1" outlineData="1">
  <location ref="D5:E106" firstHeaderRow="1" firstDataRow="1" firstDataCol="1" rowPageCount="1" colPageCount="1"/>
  <pivotFields count="20">
    <pivotField axis="axisPage" showAll="0">
      <items count="1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h="1" x="30"/>
        <item h="1" x="31"/>
        <item x="32"/>
        <item x="33"/>
        <item h="1"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h="1"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h="1"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t="default"/>
      </items>
    </pivotField>
    <pivotField showAll="0">
      <items count="1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37"/>
        <item t="default"/>
      </items>
    </pivotField>
    <pivotField showAll="0"/>
    <pivotField showAll="0"/>
    <pivotField showAll="0"/>
    <pivotField showAll="0"/>
    <pivotField axis="axisRow" showAll="0" sortType="descending">
      <items count="104">
        <item x="89"/>
        <item x="54"/>
        <item x="55"/>
        <item x="94"/>
        <item x="95"/>
        <item x="69"/>
        <item x="70"/>
        <item x="43"/>
        <item x="42"/>
        <item x="88"/>
        <item x="66"/>
        <item x="65"/>
        <item x="13"/>
        <item x="12"/>
        <item x="21"/>
        <item x="46"/>
        <item x="84"/>
        <item x="47"/>
        <item x="32"/>
        <item x="31"/>
        <item x="17"/>
        <item x="49"/>
        <item x="48"/>
        <item x="7"/>
        <item x="36"/>
        <item x="35"/>
        <item x="56"/>
        <item x="16"/>
        <item x="34"/>
        <item x="33"/>
        <item x="8"/>
        <item x="60"/>
        <item x="59"/>
        <item x="58"/>
        <item x="57"/>
        <item x="41"/>
        <item x="40"/>
        <item x="67"/>
        <item x="92"/>
        <item x="18"/>
        <item x="96"/>
        <item x="97"/>
        <item x="73"/>
        <item x="71"/>
        <item x="72"/>
        <item x="0"/>
        <item x="24"/>
        <item x="25"/>
        <item x="23"/>
        <item x="75"/>
        <item x="74"/>
        <item x="62"/>
        <item x="61"/>
        <item x="44"/>
        <item x="79"/>
        <item x="50"/>
        <item x="51"/>
        <item x="20"/>
        <item x="15"/>
        <item x="14"/>
        <item x="1"/>
        <item x="29"/>
        <item x="30"/>
        <item x="28"/>
        <item x="102"/>
        <item x="38"/>
        <item x="37"/>
        <item x="2"/>
        <item x="78"/>
        <item x="52"/>
        <item x="10"/>
        <item x="39"/>
        <item x="101"/>
        <item x="100"/>
        <item x="22"/>
        <item x="82"/>
        <item x="83"/>
        <item x="27"/>
        <item x="6"/>
        <item x="5"/>
        <item x="81"/>
        <item x="80"/>
        <item x="53"/>
        <item x="11"/>
        <item x="87"/>
        <item x="26"/>
        <item x="98"/>
        <item x="99"/>
        <item x="45"/>
        <item x="3"/>
        <item x="77"/>
        <item x="76"/>
        <item x="9"/>
        <item x="64"/>
        <item x="63"/>
        <item x="91"/>
        <item x="90"/>
        <item x="85"/>
        <item x="19"/>
        <item x="4"/>
        <item x="86"/>
        <item x="68"/>
        <item x="9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includeNewItemsInFilter="1">
      <items count="7">
        <item x="0"/>
        <item x="1"/>
        <item x="2"/>
        <item x="3"/>
        <item x="4"/>
        <item x="5"/>
        <item t="default"/>
      </items>
    </pivotField>
    <pivotField showAll="0" includeNewItemsInFilter="1">
      <items count="5">
        <item x="0"/>
        <item x="1"/>
        <item x="2"/>
        <item x="3"/>
        <item t="default"/>
      </items>
    </pivotField>
  </pivotFields>
  <rowFields count="1">
    <field x="6"/>
  </rowFields>
  <rowItems count="101">
    <i>
      <x v="77"/>
    </i>
    <i>
      <x v="60"/>
    </i>
    <i>
      <x v="50"/>
    </i>
    <i>
      <x v="69"/>
    </i>
    <i>
      <x v="26"/>
    </i>
    <i>
      <x v="82"/>
    </i>
    <i>
      <x v="84"/>
    </i>
    <i>
      <x v="45"/>
    </i>
    <i>
      <x v="49"/>
    </i>
    <i>
      <x v="16"/>
    </i>
    <i>
      <x v="79"/>
    </i>
    <i>
      <x v="81"/>
    </i>
    <i>
      <x v="48"/>
    </i>
    <i>
      <x v="85"/>
    </i>
    <i>
      <x v="80"/>
    </i>
    <i>
      <x v="28"/>
    </i>
    <i>
      <x v="65"/>
    </i>
    <i>
      <x v="67"/>
    </i>
    <i>
      <x v="20"/>
    </i>
    <i>
      <x v="98"/>
    </i>
    <i>
      <x v="66"/>
    </i>
    <i>
      <x v="86"/>
    </i>
    <i>
      <x v="87"/>
    </i>
    <i>
      <x v="44"/>
    </i>
    <i>
      <x v="43"/>
    </i>
    <i>
      <x v="42"/>
    </i>
    <i>
      <x v="36"/>
    </i>
    <i>
      <x v="71"/>
    </i>
    <i>
      <x v="5"/>
    </i>
    <i>
      <x v="6"/>
    </i>
    <i>
      <x v="46"/>
    </i>
    <i>
      <x v="78"/>
    </i>
    <i>
      <x v="34"/>
    </i>
    <i>
      <x v="33"/>
    </i>
    <i>
      <x v="30"/>
    </i>
    <i>
      <x v="13"/>
    </i>
    <i>
      <x v="92"/>
    </i>
    <i>
      <x v="12"/>
    </i>
    <i>
      <x v="70"/>
    </i>
    <i>
      <x v="14"/>
    </i>
    <i>
      <x v="23"/>
    </i>
    <i>
      <x v="39"/>
    </i>
    <i>
      <x v="2"/>
    </i>
    <i>
      <x v="1"/>
    </i>
    <i>
      <x v="74"/>
    </i>
    <i>
      <x v="55"/>
    </i>
    <i>
      <x v="56"/>
    </i>
    <i>
      <x v="47"/>
    </i>
    <i>
      <x v="51"/>
    </i>
    <i>
      <x v="52"/>
    </i>
    <i>
      <x v="24"/>
    </i>
    <i>
      <x v="100"/>
    </i>
    <i>
      <x v="32"/>
    </i>
    <i>
      <x v="31"/>
    </i>
    <i>
      <x v="38"/>
    </i>
    <i>
      <x v="89"/>
    </i>
    <i>
      <x v="76"/>
    </i>
    <i>
      <x v="75"/>
    </i>
    <i>
      <x v="99"/>
    </i>
    <i>
      <x v="9"/>
    </i>
    <i>
      <x v="27"/>
    </i>
    <i>
      <x v="35"/>
    </i>
    <i>
      <x v="21"/>
    </i>
    <i>
      <x v="101"/>
    </i>
    <i>
      <x v="37"/>
    </i>
    <i>
      <x v="61"/>
    </i>
    <i>
      <x v="4"/>
    </i>
    <i>
      <x v="25"/>
    </i>
    <i>
      <x v="15"/>
    </i>
    <i>
      <x v="17"/>
    </i>
    <i>
      <x v="102"/>
    </i>
    <i>
      <x/>
    </i>
    <i>
      <x v="57"/>
    </i>
    <i>
      <x v="91"/>
    </i>
    <i>
      <x v="90"/>
    </i>
    <i>
      <x v="83"/>
    </i>
    <i>
      <x v="95"/>
    </i>
    <i>
      <x v="96"/>
    </i>
    <i>
      <x v="59"/>
    </i>
    <i>
      <x v="97"/>
    </i>
    <i>
      <x v="8"/>
    </i>
    <i>
      <x v="29"/>
    </i>
    <i>
      <x v="93"/>
    </i>
    <i>
      <x v="22"/>
    </i>
    <i>
      <x v="10"/>
    </i>
    <i>
      <x v="11"/>
    </i>
    <i>
      <x v="3"/>
    </i>
    <i>
      <x v="88"/>
    </i>
    <i>
      <x v="53"/>
    </i>
    <i>
      <x v="40"/>
    </i>
    <i>
      <x v="72"/>
    </i>
    <i>
      <x v="73"/>
    </i>
    <i>
      <x v="68"/>
    </i>
    <i>
      <x v="54"/>
    </i>
    <i>
      <x v="41"/>
    </i>
    <i>
      <x v="7"/>
    </i>
    <i>
      <x v="58"/>
    </i>
    <i>
      <x v="19"/>
    </i>
    <i>
      <x v="62"/>
    </i>
    <i>
      <x v="18"/>
    </i>
    <i t="grand">
      <x/>
    </i>
  </rowItems>
  <colItems count="1">
    <i/>
  </colItems>
  <pageFields count="1">
    <pageField fld="0" hier="-1"/>
  </pageFields>
  <dataFields count="1">
    <dataField name="Sum of Valor_Total" fld="11" baseField="0" baseItem="0" numFmtId="164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e2" displayName="Table2" ref="A1:K116" totalsRowShown="0">
  <autoFilter ref="A1:K116" xr:uid="{00000000-0009-0000-0100-000005000000}"/>
  <tableColumns count="11">
    <tableColumn id="1" xr3:uid="{00000000-0010-0000-0000-000001000000}" name="ID_Produto"/>
    <tableColumn id="2" xr3:uid="{00000000-0010-0000-0000-000002000000}" name="Produto"/>
    <tableColumn id="3" xr3:uid="{00000000-0010-0000-0000-000003000000}" name="Categoria"/>
    <tableColumn id="4" xr3:uid="{00000000-0010-0000-0000-000004000000}" name="Subcategoria"/>
    <tableColumn id="5" xr3:uid="{00000000-0010-0000-0000-000005000000}" name="Preço_Unitário"/>
    <tableColumn id="6" xr3:uid="{00000000-0010-0000-0000-000006000000}" name="IVA"/>
    <tableColumn id="7" xr3:uid="{00000000-0010-0000-0000-000007000000}" name="Fornecedor"/>
    <tableColumn id="8" xr3:uid="{00000000-0010-0000-0000-000008000000}" name="Stock"/>
    <tableColumn id="9" xr3:uid="{00000000-0010-0000-0000-000009000000}" name="Estado"/>
    <tableColumn id="10" xr3:uid="{00000000-0010-0000-0000-00000A000000}" name="Data_Criação"/>
    <tableColumn id="11" xr3:uid="{00000000-0010-0000-0000-00000B000000}" name="Observações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J151" totalsRowShown="0">
  <autoFilter ref="A1:J151" xr:uid="{00000000-0009-0000-0100-000001000000}"/>
  <tableColumns count="10">
    <tableColumn id="1" xr3:uid="{00000000-0010-0000-0100-000001000000}" name="ID_Cliente"/>
    <tableColumn id="2" xr3:uid="{00000000-0010-0000-0100-000002000000}" name="Nome"/>
    <tableColumn id="3" xr3:uid="{00000000-0010-0000-0100-000003000000}" name="Cidade"/>
    <tableColumn id="4" xr3:uid="{00000000-0010-0000-0100-000004000000}" name="Região"/>
    <tableColumn id="5" xr3:uid="{00000000-0010-0000-0100-000005000000}" name="Email"/>
    <tableColumn id="6" xr3:uid="{00000000-0010-0000-0100-000006000000}" name="Telefone"/>
    <tableColumn id="7" xr3:uid="{00000000-0010-0000-0100-000007000000}" name="Data_Registo"/>
    <tableColumn id="8" xr3:uid="{00000000-0010-0000-0100-000008000000}" name="Estado"/>
    <tableColumn id="9" xr3:uid="{00000000-0010-0000-0100-000009000000}" name="Canal_Aquisição"/>
    <tableColumn id="10" xr3:uid="{00000000-0010-0000-0100-00000A000000}" name="Observações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3" displayName="Table3" ref="A1:L151" totalsRowShown="0">
  <autoFilter ref="A1:L151" xr:uid="{00000000-0009-0000-0100-000006000000}"/>
  <tableColumns count="12">
    <tableColumn id="1" xr3:uid="{00000000-0010-0000-0200-000001000000}" name="ID_Venda"/>
    <tableColumn id="2" xr3:uid="{00000000-0010-0000-0200-000002000000}" name="Data_Venda"/>
    <tableColumn id="3" xr3:uid="{00000000-0010-0000-0200-000003000000}" name="ID_Cliente"/>
    <tableColumn id="4" xr3:uid="{00000000-0010-0000-0200-000004000000}" name="ID_Produto"/>
    <tableColumn id="5" xr3:uid="{00000000-0010-0000-0200-000005000000}" name="Quantidade"/>
    <tableColumn id="6" xr3:uid="{00000000-0010-0000-0200-000006000000}" name="Preço_Unitário"/>
    <tableColumn id="7" xr3:uid="{00000000-0010-0000-0200-000007000000}" name="Desconto_% "/>
    <tableColumn id="8" xr3:uid="{00000000-0010-0000-0200-000008000000}" name="Canal"/>
    <tableColumn id="9" xr3:uid="{00000000-0010-0000-0200-000009000000}" name="Vendedor"/>
    <tableColumn id="10" xr3:uid="{00000000-0010-0000-0200-00000A000000}" name="Estado"/>
    <tableColumn id="11" xr3:uid="{00000000-0010-0000-0200-00000B000000}" name="Método_Pagamento"/>
    <tableColumn id="12" xr3:uid="{00000000-0010-0000-0200-00000C000000}" name="Observações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e4" displayName="Table4" ref="A1:Q151" totalsRowShown="0">
  <autoFilter ref="A1:Q151" xr:uid="{00000000-0009-0000-0100-000007000000}"/>
  <tableColumns count="17">
    <tableColumn id="1" xr3:uid="{00000000-0010-0000-0300-000001000000}" name="ID_Venda"/>
    <tableColumn id="2" xr3:uid="{00000000-0010-0000-0300-000002000000}" name="Data_Venda"/>
    <tableColumn id="3" xr3:uid="{00000000-0010-0000-0300-000003000000}" name="ID_Cliente"/>
    <tableColumn id="4" xr3:uid="{00000000-0010-0000-0300-000004000000}" name="Cliente"/>
    <tableColumn id="5" xr3:uid="{00000000-0010-0000-0300-000005000000}" name="Cidade"/>
    <tableColumn id="6" xr3:uid="{00000000-0010-0000-0300-000006000000}" name="ID_Produto"/>
    <tableColumn id="7" xr3:uid="{00000000-0010-0000-0300-000007000000}" name="Produto"/>
    <tableColumn id="8" xr3:uid="{00000000-0010-0000-0300-000008000000}" name="Categoria"/>
    <tableColumn id="9" xr3:uid="{00000000-0010-0000-0300-000009000000}" name="Quantidade"/>
    <tableColumn id="10" xr3:uid="{00000000-0010-0000-0300-00000A000000}" name="Preço_Unitário"/>
    <tableColumn id="11" xr3:uid="{00000000-0010-0000-0300-00000B000000}" name="Desconto_%"/>
    <tableColumn id="12" xr3:uid="{00000000-0010-0000-0300-00000C000000}" name="Valor_Total"/>
    <tableColumn id="13" xr3:uid="{00000000-0010-0000-0300-00000D000000}" name="Vendedor"/>
    <tableColumn id="14" xr3:uid="{00000000-0010-0000-0300-00000E000000}" name="Canal"/>
    <tableColumn id="15" xr3:uid="{00000000-0010-0000-0300-00000F000000}" name="Estado"/>
    <tableColumn id="16" xr3:uid="{00000000-0010-0000-0300-000010000000}" name="Nota_Analise"/>
    <tableColumn id="17" xr3:uid="{00000000-0010-0000-0300-000011000000}" name="Observações"/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C3EF3A3-138E-406E-86B7-4C899C6EE613}" name="Table14" displayName="Table14" ref="R1:U1048576" totalsRowShown="0">
  <autoFilter ref="R1:U1048576" xr:uid="{EC3EF3A3-138E-406E-86B7-4C899C6EE613}"/>
  <tableColumns count="4">
    <tableColumn id="1" xr3:uid="{ECEEB49E-EFA6-4019-8BC0-A08CC54B1F07}" name="Ano"/>
    <tableColumn id="2" xr3:uid="{EF0B22E6-253F-48B2-B612-90C393E482D5}" name="Mês Nº"/>
    <tableColumn id="3" xr3:uid="{92389044-1780-4A6B-B750-546A591079C0}" name="Filtro OK"/>
    <tableColumn id="4" xr3:uid="{FE956619-DB95-49B4-B01E-CCBFDC1C773F}" name="Cliente Único Filtrado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e5" displayName="Table5" ref="AH5:AI8" totalsRowShown="0">
  <autoFilter ref="AH5:AI8" xr:uid="{00000000-0009-0000-0100-000008000000}"/>
  <tableColumns count="2">
    <tableColumn id="1" xr3:uid="{00000000-0010-0000-0400-000001000000}" name="Column1"/>
    <tableColumn id="2" xr3:uid="{00000000-0010-0000-0400-000002000000}" name="Column2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Table7" displayName="Table7" ref="S5:T9" totalsRowShown="0">
  <autoFilter ref="S5:T9" xr:uid="{00000000-0009-0000-0100-00000A000000}"/>
  <tableColumns count="2">
    <tableColumn id="1" xr3:uid="{00000000-0010-0000-0500-000001000000}" name="Column1"/>
    <tableColumn id="2" xr3:uid="{00000000-0010-0000-0500-000002000000}" name="Column2"/>
  </tableColumns>
  <tableStyleInfo name="TableStyleLight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6000000}" name="Table8" displayName="Table8" ref="V5:Y12" totalsRowShown="0">
  <autoFilter ref="V5:Y12" xr:uid="{00000000-0009-0000-0100-00000B000000}"/>
  <tableColumns count="4">
    <tableColumn id="1" xr3:uid="{00000000-0010-0000-0600-000001000000}" name="Produto"/>
    <tableColumn id="2" xr3:uid="{00000000-0010-0000-0600-000002000000}" name="Preço Catalogo"/>
    <tableColumn id="3" xr3:uid="{00000000-0010-0000-0600-000003000000}" name="Preço Vendido"/>
    <tableColumn id="4" xr3:uid="{00000000-0010-0000-0600-000004000000}" name="% Abaixo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Table10" displayName="Table10" ref="A7:A8" totalsRowShown="0" headerRowDxfId="29" dataDxfId="28" headerRowBorderDxfId="26" tableBorderDxfId="27">
  <autoFilter ref="A7:A8" xr:uid="{00000000-0009-0000-0100-000002000000}"/>
  <tableColumns count="1">
    <tableColumn id="1" xr3:uid="{00000000-0010-0000-0700-000001000000}" name="Decisões tomadas" dataDxfId="25"/>
  </tableColumns>
  <tableStyleInfo name="TableStyleMedium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Table11" displayName="Table11" ref="A11:A18" totalsRowShown="0" headerRowDxfId="24" dataDxfId="23" headerRowBorderDxfId="21" tableBorderDxfId="22">
  <autoFilter ref="A11:A18" xr:uid="{00000000-0009-0000-0100-000003000000}"/>
  <tableColumns count="1">
    <tableColumn id="1" xr3:uid="{00000000-0010-0000-0800-000001000000}" name="Recomendações" dataDxfId="20"/>
  </tableColumns>
  <tableStyleInfo name="TableStyleMedium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9000000}" name="Table13" displayName="Table13" ref="A21:A22" totalsRowShown="0" headerRowDxfId="19" dataDxfId="18" headerRowBorderDxfId="16" tableBorderDxfId="17">
  <autoFilter ref="A21:A22" xr:uid="{00000000-0009-0000-0100-000004000000}"/>
  <tableColumns count="1">
    <tableColumn id="1" xr3:uid="{00000000-0010-0000-0900-000001000000}" name="Informação que faria falta" dataDxfId="15"/>
  </tableColumns>
  <tableStyleInfo name="TableStyleMedium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e9" displayName="Table9" ref="A1:A4" totalsRowShown="0" headerRowDxfId="14" dataDxfId="13" headerRowBorderDxfId="11" tableBorderDxfId="12">
  <autoFilter ref="A1:A4" xr:uid="{00000000-0009-0000-0100-00000C000000}"/>
  <tableColumns count="1">
    <tableColumn id="1" xr3:uid="{00000000-0010-0000-0A00-000001000000}" name="Problemas encontrados" dataDxfId="10"/>
  </tableColumns>
  <tableStyleInfo name="TableStyleMedium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B000000}" name="Table6" displayName="Table6" ref="A1:F11" totalsRowShown="0" headerRowDxfId="9" headerRowBorderDxfId="7" tableBorderDxfId="8" totalsRowBorderDxfId="6">
  <autoFilter ref="A1:F11" xr:uid="{00000000-0009-0000-0100-000009000000}"/>
  <tableColumns count="6">
    <tableColumn id="1" xr3:uid="{00000000-0010-0000-0B00-000001000000}" name="Nº" dataDxfId="5"/>
    <tableColumn id="2" xr3:uid="{00000000-0010-0000-0B00-000002000000}" name="Pergunta de Negócio" dataDxfId="4"/>
    <tableColumn id="3" xr3:uid="{00000000-0010-0000-0B00-000003000000}" name="Dados necessários" dataDxfId="3"/>
    <tableColumn id="4" xr3:uid="{00000000-0010-0000-0B00-000004000000}" name="Ferramenta" dataDxfId="2"/>
    <tableColumn id="5" xr3:uid="{00000000-0010-0000-0B00-000005000000}" name="Resultado" dataDxfId="1"/>
    <tableColumn id="6" xr3:uid="{00000000-0010-0000-0B00-000006000000}" name="Dashboard?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table" Target="../tables/table8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table" Target="../tables/table7.xml"/><Relationship Id="rId5" Type="http://schemas.openxmlformats.org/officeDocument/2006/relationships/pivotTable" Target="../pivotTables/pivotTable5.xml"/><Relationship Id="rId10" Type="http://schemas.openxmlformats.org/officeDocument/2006/relationships/table" Target="../tables/table6.xml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4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6"/>
  <sheetViews>
    <sheetView zoomScaleNormal="100" workbookViewId="0">
      <selection activeCell="Q8" sqref="Q8"/>
    </sheetView>
  </sheetViews>
  <sheetFormatPr defaultColWidth="8.5703125" defaultRowHeight="15" customHeight="1"/>
  <cols>
    <col min="1" max="1" width="13.28515625" customWidth="1"/>
    <col min="2" max="2" width="23.7109375" customWidth="1"/>
    <col min="3" max="3" width="17.85546875" customWidth="1"/>
    <col min="4" max="4" width="17.28515625" customWidth="1"/>
    <col min="5" max="5" width="16.5703125" style="1" customWidth="1"/>
    <col min="6" max="6" width="6.140625" customWidth="1"/>
    <col min="7" max="7" width="14.5703125" customWidth="1"/>
    <col min="8" max="8" width="8.28515625" customWidth="1"/>
    <col min="9" max="9" width="14.5703125" customWidth="1"/>
    <col min="10" max="10" width="15.140625" style="2" customWidth="1"/>
    <col min="11" max="11" width="34.7109375" customWidth="1"/>
  </cols>
  <sheetData>
    <row r="1" spans="1:11" ht="15" customHeight="1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6</v>
      </c>
      <c r="H1" t="s">
        <v>7</v>
      </c>
      <c r="I1" t="s">
        <v>8</v>
      </c>
      <c r="J1" s="2" t="s">
        <v>9</v>
      </c>
      <c r="K1" t="s">
        <v>10</v>
      </c>
    </row>
    <row r="2" spans="1:11" ht="15" customHeight="1">
      <c r="A2" t="s">
        <v>11</v>
      </c>
      <c r="B2" t="s">
        <v>12</v>
      </c>
      <c r="C2" t="s">
        <v>13</v>
      </c>
      <c r="D2" t="s">
        <v>14</v>
      </c>
      <c r="E2" s="1">
        <v>180</v>
      </c>
      <c r="F2" s="3">
        <v>0.23</v>
      </c>
      <c r="G2" t="s">
        <v>15</v>
      </c>
      <c r="H2">
        <v>25</v>
      </c>
      <c r="I2" t="s">
        <v>16</v>
      </c>
      <c r="J2" s="2">
        <v>45303</v>
      </c>
    </row>
    <row r="3" spans="1:11" ht="15" customHeight="1">
      <c r="A3" t="s">
        <v>17</v>
      </c>
      <c r="B3" t="s">
        <v>18</v>
      </c>
      <c r="C3" t="s">
        <v>19</v>
      </c>
      <c r="D3" t="s">
        <v>20</v>
      </c>
      <c r="E3" s="1">
        <v>75</v>
      </c>
      <c r="F3" s="3">
        <v>0.23</v>
      </c>
      <c r="G3" t="s">
        <v>21</v>
      </c>
      <c r="H3">
        <v>80</v>
      </c>
      <c r="I3" t="s">
        <v>16</v>
      </c>
      <c r="J3" s="2">
        <v>45309</v>
      </c>
    </row>
    <row r="4" spans="1:11" ht="15" customHeight="1">
      <c r="A4" t="s">
        <v>22</v>
      </c>
      <c r="B4" t="s">
        <v>23</v>
      </c>
      <c r="C4" t="s">
        <v>19</v>
      </c>
      <c r="D4" t="s">
        <v>24</v>
      </c>
      <c r="E4" s="1">
        <v>25</v>
      </c>
      <c r="F4" s="3">
        <v>0.23</v>
      </c>
      <c r="G4" t="s">
        <v>25</v>
      </c>
      <c r="H4">
        <v>150</v>
      </c>
      <c r="I4" t="s">
        <v>16</v>
      </c>
      <c r="J4" s="2">
        <v>45309</v>
      </c>
    </row>
    <row r="5" spans="1:11" ht="15" customHeight="1">
      <c r="A5" t="s">
        <v>26</v>
      </c>
      <c r="B5" t="s">
        <v>27</v>
      </c>
      <c r="C5" t="s">
        <v>13</v>
      </c>
      <c r="D5" t="s">
        <v>28</v>
      </c>
      <c r="E5" s="1">
        <v>850</v>
      </c>
      <c r="F5" s="3">
        <v>0.23</v>
      </c>
      <c r="G5" t="s">
        <v>15</v>
      </c>
      <c r="H5">
        <v>12</v>
      </c>
      <c r="I5" t="s">
        <v>16</v>
      </c>
      <c r="J5" s="2">
        <v>45324</v>
      </c>
    </row>
    <row r="6" spans="1:11" ht="15" customHeight="1">
      <c r="A6" t="s">
        <v>29</v>
      </c>
      <c r="B6" t="s">
        <v>30</v>
      </c>
      <c r="C6" t="s">
        <v>19</v>
      </c>
      <c r="D6" t="s">
        <v>31</v>
      </c>
      <c r="E6" s="1">
        <v>60</v>
      </c>
      <c r="F6" s="3">
        <v>0.23</v>
      </c>
      <c r="G6" t="s">
        <v>32</v>
      </c>
      <c r="H6">
        <v>45</v>
      </c>
      <c r="I6" t="s">
        <v>16</v>
      </c>
      <c r="J6" s="2">
        <v>45327</v>
      </c>
    </row>
    <row r="7" spans="1:11" ht="15" customHeight="1">
      <c r="A7" t="s">
        <v>33</v>
      </c>
      <c r="B7" t="s">
        <v>34</v>
      </c>
      <c r="C7" t="s">
        <v>35</v>
      </c>
      <c r="D7" t="s">
        <v>36</v>
      </c>
      <c r="E7" s="1">
        <v>120</v>
      </c>
      <c r="F7" s="3">
        <v>0.23</v>
      </c>
      <c r="G7" t="s">
        <v>37</v>
      </c>
      <c r="H7">
        <v>120</v>
      </c>
      <c r="I7" t="s">
        <v>16</v>
      </c>
      <c r="J7" s="2">
        <v>45337</v>
      </c>
    </row>
    <row r="8" spans="1:11" ht="15" customHeight="1">
      <c r="A8" s="4" t="s">
        <v>38</v>
      </c>
      <c r="B8" s="4" t="s">
        <v>39</v>
      </c>
      <c r="C8" s="4" t="s">
        <v>35</v>
      </c>
      <c r="D8" s="4" t="s">
        <v>36</v>
      </c>
      <c r="E8" s="5">
        <v>120</v>
      </c>
      <c r="F8" s="6">
        <v>0.23</v>
      </c>
      <c r="G8" s="4" t="s">
        <v>37</v>
      </c>
      <c r="H8" s="4">
        <v>0</v>
      </c>
      <c r="I8" s="4" t="s">
        <v>16</v>
      </c>
      <c r="J8" s="7">
        <v>45338</v>
      </c>
      <c r="K8" s="4" t="s">
        <v>40</v>
      </c>
    </row>
    <row r="9" spans="1:11" ht="15" customHeight="1">
      <c r="A9" s="4" t="s">
        <v>41</v>
      </c>
      <c r="B9" s="4" t="s">
        <v>42</v>
      </c>
      <c r="C9" s="4" t="s">
        <v>35</v>
      </c>
      <c r="D9" s="4" t="s">
        <v>36</v>
      </c>
      <c r="E9" s="5">
        <v>119.99</v>
      </c>
      <c r="F9" s="6">
        <v>0.23</v>
      </c>
      <c r="G9" s="4" t="s">
        <v>37</v>
      </c>
      <c r="H9" s="4">
        <v>0</v>
      </c>
      <c r="I9" s="4" t="s">
        <v>16</v>
      </c>
      <c r="J9" s="7">
        <v>45342</v>
      </c>
      <c r="K9" s="4" t="s">
        <v>40</v>
      </c>
    </row>
    <row r="10" spans="1:11" ht="15" customHeight="1">
      <c r="A10" t="s">
        <v>43</v>
      </c>
      <c r="B10" t="s">
        <v>44</v>
      </c>
      <c r="C10" t="s">
        <v>45</v>
      </c>
      <c r="D10" t="s">
        <v>46</v>
      </c>
      <c r="E10" s="1">
        <v>210</v>
      </c>
      <c r="F10" s="3">
        <v>0.23</v>
      </c>
      <c r="G10" t="s">
        <v>47</v>
      </c>
      <c r="H10">
        <v>18</v>
      </c>
      <c r="I10" t="s">
        <v>16</v>
      </c>
      <c r="J10" s="2">
        <v>45352</v>
      </c>
    </row>
    <row r="11" spans="1:11" ht="15" customHeight="1">
      <c r="A11" t="s">
        <v>48</v>
      </c>
      <c r="B11" t="s">
        <v>49</v>
      </c>
      <c r="C11" t="s">
        <v>45</v>
      </c>
      <c r="D11" t="s">
        <v>50</v>
      </c>
      <c r="E11" s="1">
        <v>35</v>
      </c>
      <c r="F11" s="3">
        <v>0.23</v>
      </c>
      <c r="G11" t="s">
        <v>47</v>
      </c>
      <c r="H11">
        <v>95</v>
      </c>
      <c r="I11" t="s">
        <v>16</v>
      </c>
      <c r="J11" s="2">
        <v>45356</v>
      </c>
    </row>
    <row r="12" spans="1:11" ht="15" customHeight="1">
      <c r="A12" t="s">
        <v>51</v>
      </c>
      <c r="B12" t="s">
        <v>52</v>
      </c>
      <c r="C12" t="s">
        <v>53</v>
      </c>
      <c r="D12" t="s">
        <v>54</v>
      </c>
      <c r="E12" s="1">
        <v>95</v>
      </c>
      <c r="F12" s="3">
        <v>0.23</v>
      </c>
      <c r="G12" t="s">
        <v>55</v>
      </c>
      <c r="H12">
        <v>30</v>
      </c>
      <c r="I12" t="s">
        <v>16</v>
      </c>
      <c r="J12" s="2">
        <v>45361</v>
      </c>
    </row>
    <row r="13" spans="1:11" ht="15" customHeight="1">
      <c r="A13" t="s">
        <v>56</v>
      </c>
      <c r="B13" t="s">
        <v>57</v>
      </c>
      <c r="C13" t="s">
        <v>53</v>
      </c>
      <c r="D13" t="s">
        <v>58</v>
      </c>
      <c r="E13" s="1">
        <v>70</v>
      </c>
      <c r="F13" s="3">
        <v>0.23</v>
      </c>
      <c r="G13" t="s">
        <v>55</v>
      </c>
      <c r="H13">
        <v>28</v>
      </c>
      <c r="I13" t="s">
        <v>16</v>
      </c>
      <c r="J13" s="2">
        <v>45363</v>
      </c>
    </row>
    <row r="14" spans="1:11" ht="15" customHeight="1">
      <c r="A14" t="s">
        <v>59</v>
      </c>
      <c r="B14" t="s">
        <v>60</v>
      </c>
      <c r="C14" t="s">
        <v>61</v>
      </c>
      <c r="D14" t="s">
        <v>62</v>
      </c>
      <c r="E14" s="1">
        <v>12</v>
      </c>
      <c r="F14" s="3">
        <v>0.23</v>
      </c>
      <c r="G14" t="s">
        <v>63</v>
      </c>
      <c r="H14">
        <v>398</v>
      </c>
      <c r="I14" t="s">
        <v>16</v>
      </c>
      <c r="J14" s="2">
        <v>45366</v>
      </c>
    </row>
    <row r="15" spans="1:11" ht="15" customHeight="1">
      <c r="A15" s="4" t="s">
        <v>64</v>
      </c>
      <c r="B15" s="4" t="s">
        <v>65</v>
      </c>
      <c r="C15" s="4" t="s">
        <v>61</v>
      </c>
      <c r="D15" s="4" t="s">
        <v>62</v>
      </c>
      <c r="E15" s="5">
        <v>12</v>
      </c>
      <c r="F15" s="6">
        <v>0.23</v>
      </c>
      <c r="G15" s="4" t="s">
        <v>63</v>
      </c>
      <c r="H15" s="4">
        <v>0</v>
      </c>
      <c r="I15" s="4" t="s">
        <v>66</v>
      </c>
      <c r="J15" s="7">
        <v>45369</v>
      </c>
      <c r="K15" s="4" t="s">
        <v>67</v>
      </c>
    </row>
    <row r="16" spans="1:11" ht="15" customHeight="1">
      <c r="A16" t="s">
        <v>68</v>
      </c>
      <c r="B16" t="s">
        <v>69</v>
      </c>
      <c r="C16" t="s">
        <v>35</v>
      </c>
      <c r="D16" t="s">
        <v>70</v>
      </c>
      <c r="E16" s="1">
        <v>15</v>
      </c>
      <c r="F16" s="3">
        <v>0.23</v>
      </c>
      <c r="G16" t="s">
        <v>71</v>
      </c>
      <c r="H16">
        <v>0</v>
      </c>
      <c r="I16" t="s">
        <v>16</v>
      </c>
      <c r="J16" s="2">
        <v>45371</v>
      </c>
      <c r="K16" t="s">
        <v>72</v>
      </c>
    </row>
    <row r="17" spans="1:11" ht="15" customHeight="1">
      <c r="A17" s="4" t="s">
        <v>73</v>
      </c>
      <c r="B17" s="4" t="s">
        <v>74</v>
      </c>
      <c r="C17" s="4" t="s">
        <v>35</v>
      </c>
      <c r="D17" s="4" t="s">
        <v>70</v>
      </c>
      <c r="E17" s="5">
        <v>15</v>
      </c>
      <c r="F17" s="6">
        <v>0.23</v>
      </c>
      <c r="G17" s="4" t="s">
        <v>71</v>
      </c>
      <c r="H17" s="4">
        <v>0</v>
      </c>
      <c r="I17" s="4" t="s">
        <v>66</v>
      </c>
      <c r="J17" s="7">
        <v>45373</v>
      </c>
      <c r="K17" s="4" t="s">
        <v>75</v>
      </c>
    </row>
    <row r="18" spans="1:11" ht="15" customHeight="1">
      <c r="A18" t="s">
        <v>76</v>
      </c>
      <c r="B18" t="s">
        <v>77</v>
      </c>
      <c r="C18" t="s">
        <v>19</v>
      </c>
      <c r="D18" t="s">
        <v>78</v>
      </c>
      <c r="E18" s="1">
        <v>55</v>
      </c>
      <c r="F18" s="3">
        <v>0.23</v>
      </c>
      <c r="G18" t="s">
        <v>79</v>
      </c>
      <c r="H18">
        <v>40</v>
      </c>
      <c r="I18" t="s">
        <v>16</v>
      </c>
      <c r="J18" s="2">
        <v>45376</v>
      </c>
    </row>
    <row r="19" spans="1:11" ht="15" customHeight="1">
      <c r="A19" t="s">
        <v>80</v>
      </c>
      <c r="B19" t="s">
        <v>81</v>
      </c>
      <c r="C19" t="s">
        <v>82</v>
      </c>
      <c r="D19" t="s">
        <v>83</v>
      </c>
      <c r="E19" s="1">
        <v>80</v>
      </c>
      <c r="F19" s="3">
        <v>0.23</v>
      </c>
      <c r="G19" t="s">
        <v>79</v>
      </c>
      <c r="H19">
        <v>49</v>
      </c>
      <c r="I19" t="s">
        <v>16</v>
      </c>
      <c r="J19" s="2">
        <v>45383</v>
      </c>
    </row>
    <row r="20" spans="1:11" ht="15" customHeight="1">
      <c r="A20" s="4" t="s">
        <v>84</v>
      </c>
      <c r="B20" s="4" t="s">
        <v>81</v>
      </c>
      <c r="C20" s="4" t="s">
        <v>78</v>
      </c>
      <c r="D20" s="4" t="s">
        <v>83</v>
      </c>
      <c r="E20" s="5">
        <v>80</v>
      </c>
      <c r="F20" s="6">
        <v>0.23</v>
      </c>
      <c r="G20" s="4" t="s">
        <v>79</v>
      </c>
      <c r="H20" s="4">
        <v>0</v>
      </c>
      <c r="I20" s="4" t="s">
        <v>16</v>
      </c>
      <c r="J20" s="7">
        <v>45384</v>
      </c>
      <c r="K20" s="4" t="s">
        <v>85</v>
      </c>
    </row>
    <row r="21" spans="1:11" ht="15" customHeight="1">
      <c r="A21" t="s">
        <v>86</v>
      </c>
      <c r="B21" t="s">
        <v>87</v>
      </c>
      <c r="C21" t="s">
        <v>78</v>
      </c>
      <c r="D21" t="s">
        <v>88</v>
      </c>
      <c r="E21" s="1">
        <v>65</v>
      </c>
      <c r="F21" s="3">
        <v>0.23</v>
      </c>
      <c r="G21" t="s">
        <v>79</v>
      </c>
      <c r="H21">
        <v>18</v>
      </c>
      <c r="I21" t="s">
        <v>16</v>
      </c>
      <c r="J21" s="2">
        <v>45387</v>
      </c>
    </row>
    <row r="22" spans="1:11" ht="15" customHeight="1">
      <c r="A22" t="s">
        <v>89</v>
      </c>
      <c r="B22" t="s">
        <v>90</v>
      </c>
      <c r="C22" t="s">
        <v>19</v>
      </c>
      <c r="D22" t="s">
        <v>31</v>
      </c>
      <c r="E22" s="1">
        <v>79</v>
      </c>
      <c r="F22" s="3">
        <v>0.23</v>
      </c>
      <c r="G22" t="s">
        <v>32</v>
      </c>
      <c r="H22">
        <v>42</v>
      </c>
      <c r="I22" t="s">
        <v>16</v>
      </c>
      <c r="J22" s="2">
        <v>45390</v>
      </c>
    </row>
    <row r="23" spans="1:11" ht="15" customHeight="1">
      <c r="A23" s="4" t="s">
        <v>91</v>
      </c>
      <c r="B23" s="4" t="s">
        <v>92</v>
      </c>
      <c r="C23" s="4" t="s">
        <v>19</v>
      </c>
      <c r="D23" s="4" t="s">
        <v>31</v>
      </c>
      <c r="E23" s="5">
        <v>79</v>
      </c>
      <c r="F23" s="6">
        <v>0.23</v>
      </c>
      <c r="G23" s="4" t="s">
        <v>32</v>
      </c>
      <c r="H23" s="4">
        <v>0</v>
      </c>
      <c r="I23" s="4" t="s">
        <v>66</v>
      </c>
      <c r="J23" s="7">
        <v>45391</v>
      </c>
      <c r="K23" s="4" t="s">
        <v>93</v>
      </c>
    </row>
    <row r="24" spans="1:11" ht="15" customHeight="1">
      <c r="A24" t="s">
        <v>94</v>
      </c>
      <c r="B24" t="s">
        <v>95</v>
      </c>
      <c r="C24" t="s">
        <v>96</v>
      </c>
      <c r="D24" t="s">
        <v>97</v>
      </c>
      <c r="E24" s="1">
        <v>4.5</v>
      </c>
      <c r="F24" s="3">
        <v>0.23</v>
      </c>
      <c r="G24" t="s">
        <v>98</v>
      </c>
      <c r="H24">
        <v>320</v>
      </c>
      <c r="I24" t="s">
        <v>16</v>
      </c>
      <c r="J24" s="2">
        <v>45394</v>
      </c>
    </row>
    <row r="25" spans="1:11" ht="15" customHeight="1">
      <c r="A25" t="s">
        <v>99</v>
      </c>
      <c r="B25" t="s">
        <v>100</v>
      </c>
      <c r="C25" t="s">
        <v>101</v>
      </c>
      <c r="D25" t="s">
        <v>102</v>
      </c>
      <c r="E25" s="1">
        <v>185</v>
      </c>
      <c r="F25" s="3">
        <v>0.23</v>
      </c>
      <c r="G25" t="s">
        <v>98</v>
      </c>
      <c r="H25">
        <v>8</v>
      </c>
      <c r="I25" t="s">
        <v>16</v>
      </c>
      <c r="J25" s="2">
        <v>45397</v>
      </c>
    </row>
    <row r="26" spans="1:11" ht="15" customHeight="1">
      <c r="A26" t="s">
        <v>103</v>
      </c>
      <c r="B26" t="s">
        <v>104</v>
      </c>
      <c r="C26" t="s">
        <v>101</v>
      </c>
      <c r="D26" t="s">
        <v>105</v>
      </c>
      <c r="E26" s="1">
        <v>249</v>
      </c>
      <c r="F26" s="3">
        <v>0.23</v>
      </c>
      <c r="G26" t="s">
        <v>98</v>
      </c>
      <c r="H26">
        <v>5</v>
      </c>
      <c r="I26" t="s">
        <v>16</v>
      </c>
      <c r="J26" s="2">
        <v>45400</v>
      </c>
    </row>
    <row r="27" spans="1:11" ht="15" customHeight="1">
      <c r="A27" t="s">
        <v>106</v>
      </c>
      <c r="B27" t="s">
        <v>107</v>
      </c>
      <c r="C27" t="s">
        <v>13</v>
      </c>
      <c r="D27" t="s">
        <v>14</v>
      </c>
      <c r="E27" s="1">
        <v>245</v>
      </c>
      <c r="F27" s="3">
        <v>0.23</v>
      </c>
      <c r="G27" t="s">
        <v>15</v>
      </c>
      <c r="H27">
        <v>38</v>
      </c>
      <c r="I27" t="s">
        <v>16</v>
      </c>
      <c r="J27" s="2">
        <v>45404</v>
      </c>
    </row>
    <row r="28" spans="1:11" ht="15" customHeight="1">
      <c r="A28" s="4" t="s">
        <v>108</v>
      </c>
      <c r="B28" s="4" t="s">
        <v>109</v>
      </c>
      <c r="C28" s="4" t="s">
        <v>13</v>
      </c>
      <c r="D28" s="4" t="s">
        <v>14</v>
      </c>
      <c r="E28" s="5">
        <v>245</v>
      </c>
      <c r="F28" s="6">
        <v>0.23</v>
      </c>
      <c r="G28" s="4" t="s">
        <v>110</v>
      </c>
      <c r="H28" s="4">
        <v>0</v>
      </c>
      <c r="I28" s="4" t="s">
        <v>66</v>
      </c>
      <c r="J28" s="7">
        <v>45405</v>
      </c>
      <c r="K28" s="4" t="s">
        <v>111</v>
      </c>
    </row>
    <row r="29" spans="1:11" ht="15" customHeight="1">
      <c r="A29" s="4" t="s">
        <v>112</v>
      </c>
      <c r="B29" s="4" t="s">
        <v>113</v>
      </c>
      <c r="C29" s="4" t="s">
        <v>13</v>
      </c>
      <c r="D29" s="4" t="s">
        <v>14</v>
      </c>
      <c r="E29" s="5">
        <v>245</v>
      </c>
      <c r="F29" s="6">
        <v>0.23</v>
      </c>
      <c r="G29" s="4" t="s">
        <v>114</v>
      </c>
      <c r="H29" s="4">
        <v>0</v>
      </c>
      <c r="I29" s="4" t="s">
        <v>66</v>
      </c>
      <c r="J29" s="7">
        <v>45406</v>
      </c>
      <c r="K29" s="4" t="s">
        <v>111</v>
      </c>
    </row>
    <row r="30" spans="1:11" ht="15" customHeight="1">
      <c r="A30" t="s">
        <v>115</v>
      </c>
      <c r="B30" t="s">
        <v>116</v>
      </c>
      <c r="C30" t="s">
        <v>13</v>
      </c>
      <c r="D30" t="s">
        <v>117</v>
      </c>
      <c r="E30" s="1">
        <v>320</v>
      </c>
      <c r="F30" s="3">
        <v>0.23</v>
      </c>
      <c r="G30" t="s">
        <v>15</v>
      </c>
      <c r="H30">
        <v>30</v>
      </c>
      <c r="I30" t="s">
        <v>16</v>
      </c>
      <c r="J30" s="2">
        <v>45413</v>
      </c>
    </row>
    <row r="31" spans="1:11" ht="15" customHeight="1">
      <c r="A31" s="4" t="s">
        <v>118</v>
      </c>
      <c r="B31" s="4" t="s">
        <v>119</v>
      </c>
      <c r="C31" s="4" t="s">
        <v>13</v>
      </c>
      <c r="D31" s="4" t="s">
        <v>117</v>
      </c>
      <c r="E31" s="5">
        <v>320</v>
      </c>
      <c r="F31" s="6">
        <v>0.23</v>
      </c>
      <c r="G31" s="4" t="s">
        <v>15</v>
      </c>
      <c r="H31" s="4">
        <v>0</v>
      </c>
      <c r="I31" s="4" t="s">
        <v>66</v>
      </c>
      <c r="J31" s="7">
        <v>45414</v>
      </c>
      <c r="K31" s="4" t="s">
        <v>120</v>
      </c>
    </row>
    <row r="32" spans="1:11" ht="15" customHeight="1">
      <c r="A32" t="s">
        <v>121</v>
      </c>
      <c r="B32" t="s">
        <v>122</v>
      </c>
      <c r="C32" t="s">
        <v>123</v>
      </c>
      <c r="D32" t="s">
        <v>124</v>
      </c>
      <c r="E32" s="1">
        <v>699</v>
      </c>
      <c r="F32" s="3">
        <v>0.23</v>
      </c>
      <c r="G32" t="s">
        <v>125</v>
      </c>
      <c r="H32">
        <v>39</v>
      </c>
      <c r="I32" t="s">
        <v>16</v>
      </c>
      <c r="J32" s="2">
        <v>45415</v>
      </c>
    </row>
    <row r="33" spans="1:11" ht="15" customHeight="1">
      <c r="A33" t="s">
        <v>126</v>
      </c>
      <c r="B33" t="s">
        <v>122</v>
      </c>
      <c r="C33" t="s">
        <v>123</v>
      </c>
      <c r="D33" t="s">
        <v>124</v>
      </c>
      <c r="E33" s="1">
        <v>649</v>
      </c>
      <c r="F33" s="3">
        <v>0.23</v>
      </c>
      <c r="G33" t="s">
        <v>125</v>
      </c>
      <c r="H33">
        <v>18</v>
      </c>
      <c r="I33" t="s">
        <v>127</v>
      </c>
      <c r="J33" s="2">
        <v>45422</v>
      </c>
      <c r="K33" t="s">
        <v>128</v>
      </c>
    </row>
    <row r="34" spans="1:11" ht="15" customHeight="1">
      <c r="A34" s="4" t="s">
        <v>129</v>
      </c>
      <c r="B34" s="4" t="s">
        <v>130</v>
      </c>
      <c r="C34" s="4" t="s">
        <v>123</v>
      </c>
      <c r="D34" s="4" t="s">
        <v>124</v>
      </c>
      <c r="E34" s="5">
        <v>699</v>
      </c>
      <c r="F34" s="6">
        <v>0.23</v>
      </c>
      <c r="G34" s="4" t="s">
        <v>131</v>
      </c>
      <c r="H34" s="4">
        <v>0</v>
      </c>
      <c r="I34" s="4" t="s">
        <v>16</v>
      </c>
      <c r="J34" s="7">
        <v>45423</v>
      </c>
      <c r="K34" s="4" t="s">
        <v>132</v>
      </c>
    </row>
    <row r="35" spans="1:11" ht="15" customHeight="1">
      <c r="A35" t="s">
        <v>133</v>
      </c>
      <c r="B35" t="s">
        <v>134</v>
      </c>
      <c r="C35" t="s">
        <v>61</v>
      </c>
      <c r="D35" t="s">
        <v>135</v>
      </c>
      <c r="E35" s="1">
        <v>39</v>
      </c>
      <c r="F35" s="3">
        <v>0.23</v>
      </c>
      <c r="G35" t="s">
        <v>136</v>
      </c>
      <c r="H35">
        <v>55</v>
      </c>
      <c r="I35" t="s">
        <v>16</v>
      </c>
      <c r="J35" s="2">
        <v>45424</v>
      </c>
    </row>
    <row r="36" spans="1:11" ht="15" customHeight="1">
      <c r="A36" s="4" t="s">
        <v>137</v>
      </c>
      <c r="B36" s="4" t="s">
        <v>138</v>
      </c>
      <c r="C36" s="4" t="s">
        <v>61</v>
      </c>
      <c r="D36" s="4" t="s">
        <v>135</v>
      </c>
      <c r="E36" s="5">
        <v>39</v>
      </c>
      <c r="F36" s="6">
        <v>0.23</v>
      </c>
      <c r="G36" s="4" t="s">
        <v>139</v>
      </c>
      <c r="H36" s="4">
        <v>0</v>
      </c>
      <c r="I36" s="4" t="s">
        <v>66</v>
      </c>
      <c r="J36" s="7">
        <v>45425</v>
      </c>
      <c r="K36" s="4" t="s">
        <v>140</v>
      </c>
    </row>
    <row r="37" spans="1:11" ht="15" customHeight="1">
      <c r="A37" t="s">
        <v>141</v>
      </c>
      <c r="B37" t="s">
        <v>142</v>
      </c>
      <c r="C37" t="s">
        <v>61</v>
      </c>
      <c r="D37" t="s">
        <v>135</v>
      </c>
      <c r="E37" s="1">
        <v>22</v>
      </c>
      <c r="F37" s="3">
        <v>0.23</v>
      </c>
      <c r="G37" t="s">
        <v>136</v>
      </c>
      <c r="H37">
        <v>138</v>
      </c>
      <c r="I37" t="s">
        <v>16</v>
      </c>
      <c r="J37" s="2">
        <v>45427</v>
      </c>
    </row>
    <row r="38" spans="1:11" ht="15" customHeight="1">
      <c r="A38" s="4" t="s">
        <v>143</v>
      </c>
      <c r="B38" s="4" t="s">
        <v>144</v>
      </c>
      <c r="C38" s="4" t="s">
        <v>61</v>
      </c>
      <c r="D38" s="4" t="s">
        <v>135</v>
      </c>
      <c r="E38" s="5">
        <v>22</v>
      </c>
      <c r="F38" s="6">
        <v>0.23</v>
      </c>
      <c r="G38" s="4" t="s">
        <v>145</v>
      </c>
      <c r="H38" s="4">
        <v>0</v>
      </c>
      <c r="I38" s="4" t="s">
        <v>66</v>
      </c>
      <c r="J38" s="7">
        <v>45428</v>
      </c>
      <c r="K38" s="4" t="s">
        <v>146</v>
      </c>
    </row>
    <row r="39" spans="1:11" ht="15" customHeight="1">
      <c r="A39" t="s">
        <v>147</v>
      </c>
      <c r="B39" t="s">
        <v>148</v>
      </c>
      <c r="C39" t="s">
        <v>61</v>
      </c>
      <c r="D39" t="s">
        <v>149</v>
      </c>
      <c r="E39" s="1">
        <v>34</v>
      </c>
      <c r="F39" s="3">
        <v>0.23</v>
      </c>
      <c r="G39" t="s">
        <v>63</v>
      </c>
      <c r="H39">
        <v>32</v>
      </c>
      <c r="I39" t="s">
        <v>16</v>
      </c>
      <c r="J39" s="2">
        <v>45430</v>
      </c>
    </row>
    <row r="40" spans="1:11" ht="15" customHeight="1">
      <c r="A40" s="4" t="s">
        <v>150</v>
      </c>
      <c r="B40" s="4" t="s">
        <v>151</v>
      </c>
      <c r="C40" s="4" t="s">
        <v>61</v>
      </c>
      <c r="D40" s="4" t="s">
        <v>149</v>
      </c>
      <c r="E40" s="5">
        <v>34</v>
      </c>
      <c r="F40" s="6">
        <v>0.23</v>
      </c>
      <c r="G40" s="4" t="s">
        <v>152</v>
      </c>
      <c r="H40" s="4">
        <v>0</v>
      </c>
      <c r="I40" s="4" t="s">
        <v>66</v>
      </c>
      <c r="J40" s="7">
        <v>45431</v>
      </c>
      <c r="K40" s="4" t="s">
        <v>153</v>
      </c>
    </row>
    <row r="41" spans="1:11" ht="15" customHeight="1">
      <c r="A41" t="s">
        <v>154</v>
      </c>
      <c r="B41" t="s">
        <v>155</v>
      </c>
      <c r="C41" t="s">
        <v>61</v>
      </c>
      <c r="D41" t="s">
        <v>149</v>
      </c>
      <c r="E41" s="1">
        <v>149</v>
      </c>
      <c r="F41" s="3">
        <v>0.23</v>
      </c>
      <c r="G41" t="s">
        <v>63</v>
      </c>
      <c r="H41">
        <v>19</v>
      </c>
      <c r="I41" t="s">
        <v>16</v>
      </c>
      <c r="J41" s="2">
        <v>45434</v>
      </c>
    </row>
    <row r="42" spans="1:11" ht="15" customHeight="1">
      <c r="A42" s="4" t="s">
        <v>156</v>
      </c>
      <c r="B42" s="4" t="s">
        <v>157</v>
      </c>
      <c r="C42" s="4" t="s">
        <v>61</v>
      </c>
      <c r="D42" s="4" t="s">
        <v>149</v>
      </c>
      <c r="E42" s="5">
        <v>149</v>
      </c>
      <c r="F42" s="6">
        <v>0.23</v>
      </c>
      <c r="G42" s="4" t="s">
        <v>63</v>
      </c>
      <c r="H42" s="4">
        <v>0</v>
      </c>
      <c r="I42" s="4" t="s">
        <v>66</v>
      </c>
      <c r="J42" s="7">
        <v>45435</v>
      </c>
      <c r="K42" s="4" t="s">
        <v>158</v>
      </c>
    </row>
    <row r="43" spans="1:11" ht="15" customHeight="1">
      <c r="A43" t="s">
        <v>159</v>
      </c>
      <c r="B43" t="s">
        <v>160</v>
      </c>
      <c r="C43" t="s">
        <v>161</v>
      </c>
      <c r="D43" t="s">
        <v>162</v>
      </c>
      <c r="E43" s="1">
        <v>590</v>
      </c>
      <c r="F43" s="3">
        <v>0.23</v>
      </c>
      <c r="G43" t="s">
        <v>32</v>
      </c>
      <c r="H43">
        <v>12</v>
      </c>
      <c r="I43" t="s">
        <v>16</v>
      </c>
      <c r="J43" s="2">
        <v>45437</v>
      </c>
    </row>
    <row r="44" spans="1:11" ht="15" customHeight="1">
      <c r="A44" s="4" t="s">
        <v>163</v>
      </c>
      <c r="B44" s="4" t="s">
        <v>164</v>
      </c>
      <c r="C44" s="4" t="s">
        <v>161</v>
      </c>
      <c r="D44" s="4" t="s">
        <v>162</v>
      </c>
      <c r="E44" s="5">
        <v>590</v>
      </c>
      <c r="F44" s="6">
        <v>0.23</v>
      </c>
      <c r="G44" s="4" t="s">
        <v>165</v>
      </c>
      <c r="H44" s="4">
        <v>0</v>
      </c>
      <c r="I44" s="4" t="s">
        <v>66</v>
      </c>
      <c r="J44" s="7">
        <v>45438</v>
      </c>
      <c r="K44" s="4" t="s">
        <v>166</v>
      </c>
    </row>
    <row r="45" spans="1:11" ht="15" customHeight="1">
      <c r="A45" t="s">
        <v>167</v>
      </c>
      <c r="B45" t="s">
        <v>168</v>
      </c>
      <c r="C45" t="s">
        <v>45</v>
      </c>
      <c r="D45" t="s">
        <v>169</v>
      </c>
      <c r="E45" s="1">
        <v>170</v>
      </c>
      <c r="F45" s="3">
        <v>0.23</v>
      </c>
      <c r="G45" t="s">
        <v>47</v>
      </c>
      <c r="H45">
        <v>22</v>
      </c>
      <c r="I45" t="s">
        <v>16</v>
      </c>
      <c r="J45" s="2">
        <v>45444</v>
      </c>
    </row>
    <row r="46" spans="1:11" ht="15" customHeight="1">
      <c r="A46" s="4" t="s">
        <v>170</v>
      </c>
      <c r="B46" s="4" t="s">
        <v>168</v>
      </c>
      <c r="C46" s="4" t="s">
        <v>171</v>
      </c>
      <c r="D46" s="4" t="s">
        <v>169</v>
      </c>
      <c r="E46" s="5">
        <v>170</v>
      </c>
      <c r="F46" s="6">
        <v>0.23</v>
      </c>
      <c r="G46" s="4" t="s">
        <v>172</v>
      </c>
      <c r="H46" s="4">
        <v>0</v>
      </c>
      <c r="I46" s="4" t="s">
        <v>66</v>
      </c>
      <c r="J46" s="7">
        <v>45445</v>
      </c>
      <c r="K46" s="4" t="s">
        <v>173</v>
      </c>
    </row>
    <row r="47" spans="1:11" ht="15" customHeight="1">
      <c r="A47" t="s">
        <v>174</v>
      </c>
      <c r="B47" t="s">
        <v>175</v>
      </c>
      <c r="C47" t="s">
        <v>176</v>
      </c>
      <c r="D47" t="s">
        <v>177</v>
      </c>
      <c r="E47" s="1">
        <v>99</v>
      </c>
      <c r="F47" s="3">
        <v>0.23</v>
      </c>
      <c r="G47" t="s">
        <v>178</v>
      </c>
      <c r="H47" t="s">
        <v>179</v>
      </c>
      <c r="I47" t="s">
        <v>16</v>
      </c>
      <c r="J47" s="2">
        <v>45448</v>
      </c>
      <c r="K47" t="s">
        <v>180</v>
      </c>
    </row>
    <row r="48" spans="1:11" ht="15" customHeight="1">
      <c r="A48" s="4" t="s">
        <v>181</v>
      </c>
      <c r="B48" s="4" t="s">
        <v>182</v>
      </c>
      <c r="C48" s="4" t="s">
        <v>176</v>
      </c>
      <c r="D48" s="4" t="s">
        <v>177</v>
      </c>
      <c r="E48" s="5">
        <v>99</v>
      </c>
      <c r="F48" s="6">
        <v>0.23</v>
      </c>
      <c r="G48" s="4" t="s">
        <v>178</v>
      </c>
      <c r="H48" s="4" t="s">
        <v>179</v>
      </c>
      <c r="I48" s="4" t="s">
        <v>66</v>
      </c>
      <c r="J48" s="7">
        <v>45449</v>
      </c>
      <c r="K48" s="4" t="s">
        <v>183</v>
      </c>
    </row>
    <row r="49" spans="1:11" ht="15" customHeight="1">
      <c r="A49" t="s">
        <v>184</v>
      </c>
      <c r="B49" t="s">
        <v>185</v>
      </c>
      <c r="C49" t="s">
        <v>176</v>
      </c>
      <c r="D49" t="s">
        <v>186</v>
      </c>
      <c r="E49" s="1">
        <v>45</v>
      </c>
      <c r="F49" s="3">
        <v>0.23</v>
      </c>
      <c r="G49" t="s">
        <v>187</v>
      </c>
      <c r="H49" t="s">
        <v>179</v>
      </c>
      <c r="I49" t="s">
        <v>16</v>
      </c>
      <c r="J49" s="2">
        <v>45451</v>
      </c>
      <c r="K49" t="s">
        <v>180</v>
      </c>
    </row>
    <row r="50" spans="1:11" ht="15" customHeight="1">
      <c r="A50" s="4" t="s">
        <v>188</v>
      </c>
      <c r="B50" s="4" t="s">
        <v>189</v>
      </c>
      <c r="C50" s="4" t="s">
        <v>176</v>
      </c>
      <c r="D50" s="4" t="s">
        <v>186</v>
      </c>
      <c r="E50" s="5">
        <v>45</v>
      </c>
      <c r="F50" s="6">
        <v>0.23</v>
      </c>
      <c r="G50" s="4" t="s">
        <v>190</v>
      </c>
      <c r="H50" s="4" t="s">
        <v>179</v>
      </c>
      <c r="I50" s="4" t="s">
        <v>66</v>
      </c>
      <c r="J50" s="7">
        <v>45452</v>
      </c>
      <c r="K50" s="4" t="s">
        <v>191</v>
      </c>
    </row>
    <row r="51" spans="1:11" ht="15" customHeight="1">
      <c r="A51" t="s">
        <v>192</v>
      </c>
      <c r="B51" t="s">
        <v>27</v>
      </c>
      <c r="C51" t="s">
        <v>13</v>
      </c>
      <c r="D51" t="s">
        <v>28</v>
      </c>
      <c r="E51" s="1">
        <v>850</v>
      </c>
      <c r="F51" s="3">
        <v>0.23</v>
      </c>
      <c r="G51" t="s">
        <v>15</v>
      </c>
      <c r="H51">
        <v>0</v>
      </c>
      <c r="I51" t="s">
        <v>193</v>
      </c>
      <c r="J51" s="2">
        <v>45458</v>
      </c>
      <c r="K51" t="s">
        <v>194</v>
      </c>
    </row>
    <row r="52" spans="1:11" ht="15" customHeight="1">
      <c r="A52" t="s">
        <v>195</v>
      </c>
      <c r="B52" t="s">
        <v>196</v>
      </c>
      <c r="C52" t="s">
        <v>19</v>
      </c>
      <c r="D52" t="s">
        <v>197</v>
      </c>
      <c r="E52" s="1">
        <v>19.899999999999999</v>
      </c>
      <c r="F52" s="3">
        <v>0.23</v>
      </c>
      <c r="G52" t="s">
        <v>198</v>
      </c>
      <c r="H52">
        <v>238</v>
      </c>
      <c r="I52" t="s">
        <v>16</v>
      </c>
      <c r="J52" s="2">
        <v>45459</v>
      </c>
    </row>
    <row r="53" spans="1:11" ht="15" customHeight="1">
      <c r="A53" s="4" t="s">
        <v>199</v>
      </c>
      <c r="B53" s="4" t="s">
        <v>200</v>
      </c>
      <c r="C53" s="4" t="s">
        <v>19</v>
      </c>
      <c r="D53" s="4" t="s">
        <v>197</v>
      </c>
      <c r="E53" s="5">
        <v>19.899999999999999</v>
      </c>
      <c r="F53" s="6">
        <v>0.23</v>
      </c>
      <c r="G53" s="4" t="s">
        <v>201</v>
      </c>
      <c r="H53" s="4">
        <v>0</v>
      </c>
      <c r="I53" s="4" t="s">
        <v>16</v>
      </c>
      <c r="J53" s="7">
        <v>45460</v>
      </c>
      <c r="K53" s="4" t="s">
        <v>202</v>
      </c>
    </row>
    <row r="54" spans="1:11" ht="15" customHeight="1">
      <c r="A54" t="s">
        <v>203</v>
      </c>
      <c r="B54" t="s">
        <v>204</v>
      </c>
      <c r="C54" t="s">
        <v>186</v>
      </c>
      <c r="D54" t="s">
        <v>205</v>
      </c>
      <c r="E54" s="1">
        <v>89</v>
      </c>
      <c r="F54" s="3">
        <v>0.23</v>
      </c>
      <c r="G54" t="s">
        <v>206</v>
      </c>
      <c r="H54">
        <v>49</v>
      </c>
      <c r="I54" t="s">
        <v>16</v>
      </c>
      <c r="J54" s="2">
        <v>45461</v>
      </c>
    </row>
    <row r="55" spans="1:11" ht="15" customHeight="1">
      <c r="A55" s="4" t="s">
        <v>207</v>
      </c>
      <c r="B55" s="4" t="s">
        <v>208</v>
      </c>
      <c r="C55" s="4" t="s">
        <v>186</v>
      </c>
      <c r="D55" s="4" t="s">
        <v>205</v>
      </c>
      <c r="E55" s="5">
        <v>89</v>
      </c>
      <c r="F55" s="6">
        <v>0.23</v>
      </c>
      <c r="G55" s="4" t="s">
        <v>209</v>
      </c>
      <c r="H55" s="4">
        <v>0</v>
      </c>
      <c r="I55" s="4" t="s">
        <v>66</v>
      </c>
      <c r="J55" s="7">
        <v>45462</v>
      </c>
      <c r="K55" s="4" t="s">
        <v>210</v>
      </c>
    </row>
    <row r="56" spans="1:11" ht="15" customHeight="1">
      <c r="A56" t="s">
        <v>211</v>
      </c>
      <c r="B56" t="s">
        <v>212</v>
      </c>
      <c r="C56" t="s">
        <v>35</v>
      </c>
      <c r="D56" t="s">
        <v>213</v>
      </c>
      <c r="E56" s="1">
        <v>95</v>
      </c>
      <c r="F56" s="3">
        <v>0.23</v>
      </c>
      <c r="G56" t="s">
        <v>37</v>
      </c>
      <c r="H56">
        <v>69</v>
      </c>
      <c r="I56" t="s">
        <v>16</v>
      </c>
      <c r="J56" s="2">
        <v>45463</v>
      </c>
    </row>
    <row r="57" spans="1:11" ht="15" customHeight="1">
      <c r="A57" s="4" t="s">
        <v>214</v>
      </c>
      <c r="B57" s="4" t="s">
        <v>215</v>
      </c>
      <c r="C57" s="4" t="s">
        <v>35</v>
      </c>
      <c r="D57" s="4" t="s">
        <v>213</v>
      </c>
      <c r="E57" s="5">
        <v>95</v>
      </c>
      <c r="F57" s="6">
        <v>0.23</v>
      </c>
      <c r="G57" s="4" t="s">
        <v>216</v>
      </c>
      <c r="H57" s="4">
        <v>0</v>
      </c>
      <c r="I57" s="4" t="s">
        <v>66</v>
      </c>
      <c r="J57" s="7">
        <v>45464</v>
      </c>
      <c r="K57" s="4" t="s">
        <v>217</v>
      </c>
    </row>
    <row r="58" spans="1:11" ht="15" customHeight="1">
      <c r="A58" t="s">
        <v>218</v>
      </c>
      <c r="B58" t="s">
        <v>219</v>
      </c>
      <c r="C58" t="s">
        <v>35</v>
      </c>
      <c r="D58" t="s">
        <v>220</v>
      </c>
      <c r="E58" s="1">
        <v>320</v>
      </c>
      <c r="F58" s="3">
        <v>0.23</v>
      </c>
      <c r="G58" t="s">
        <v>221</v>
      </c>
      <c r="H58">
        <v>23</v>
      </c>
      <c r="I58" t="s">
        <v>16</v>
      </c>
      <c r="J58" s="2">
        <v>45465</v>
      </c>
    </row>
    <row r="59" spans="1:11" ht="15" customHeight="1">
      <c r="A59" s="4" t="s">
        <v>222</v>
      </c>
      <c r="B59" s="4" t="s">
        <v>223</v>
      </c>
      <c r="C59" s="4" t="s">
        <v>35</v>
      </c>
      <c r="D59" s="4" t="s">
        <v>220</v>
      </c>
      <c r="E59" s="5">
        <v>320</v>
      </c>
      <c r="F59" s="6">
        <v>0.23</v>
      </c>
      <c r="G59" s="4" t="s">
        <v>221</v>
      </c>
      <c r="H59" s="4">
        <v>0</v>
      </c>
      <c r="I59" s="4" t="s">
        <v>66</v>
      </c>
      <c r="J59" s="7">
        <v>45466</v>
      </c>
      <c r="K59" s="4" t="s">
        <v>224</v>
      </c>
    </row>
    <row r="60" spans="1:11" ht="15" customHeight="1">
      <c r="A60" t="s">
        <v>225</v>
      </c>
      <c r="B60" t="s">
        <v>226</v>
      </c>
      <c r="C60" t="s">
        <v>53</v>
      </c>
      <c r="D60" t="s">
        <v>54</v>
      </c>
      <c r="E60" s="1">
        <v>420</v>
      </c>
      <c r="F60" s="3">
        <v>0.23</v>
      </c>
      <c r="G60" t="s">
        <v>55</v>
      </c>
      <c r="H60">
        <v>16</v>
      </c>
      <c r="I60" t="s">
        <v>16</v>
      </c>
      <c r="J60" s="2">
        <v>45467</v>
      </c>
    </row>
    <row r="61" spans="1:11" ht="15" customHeight="1">
      <c r="A61" s="4" t="s">
        <v>227</v>
      </c>
      <c r="B61" s="4" t="s">
        <v>226</v>
      </c>
      <c r="C61" s="4" t="s">
        <v>53</v>
      </c>
      <c r="D61" s="4" t="s">
        <v>54</v>
      </c>
      <c r="E61" s="5">
        <v>420</v>
      </c>
      <c r="F61" s="6">
        <v>0.23</v>
      </c>
      <c r="G61" s="4" t="s">
        <v>228</v>
      </c>
      <c r="H61" s="4">
        <v>0</v>
      </c>
      <c r="I61" s="4" t="s">
        <v>66</v>
      </c>
      <c r="J61" s="7">
        <v>45468</v>
      </c>
      <c r="K61" s="4" t="s">
        <v>229</v>
      </c>
    </row>
    <row r="62" spans="1:11" ht="15" customHeight="1">
      <c r="A62" t="s">
        <v>230</v>
      </c>
      <c r="B62" t="s">
        <v>231</v>
      </c>
      <c r="C62" t="s">
        <v>53</v>
      </c>
      <c r="D62" t="s">
        <v>58</v>
      </c>
      <c r="E62" s="1">
        <v>195</v>
      </c>
      <c r="F62" s="3">
        <v>0.23</v>
      </c>
      <c r="G62" t="s">
        <v>55</v>
      </c>
      <c r="H62">
        <v>30</v>
      </c>
      <c r="I62" t="s">
        <v>16</v>
      </c>
      <c r="J62" s="2">
        <v>45469</v>
      </c>
    </row>
    <row r="63" spans="1:11" ht="15" customHeight="1">
      <c r="A63" s="4" t="s">
        <v>232</v>
      </c>
      <c r="B63" s="4" t="s">
        <v>233</v>
      </c>
      <c r="C63" s="4" t="s">
        <v>53</v>
      </c>
      <c r="D63" s="4" t="s">
        <v>58</v>
      </c>
      <c r="E63" s="5">
        <v>195</v>
      </c>
      <c r="F63" s="6">
        <v>0.23</v>
      </c>
      <c r="G63" s="4" t="s">
        <v>234</v>
      </c>
      <c r="H63" s="4">
        <v>0</v>
      </c>
      <c r="I63" s="4" t="s">
        <v>66</v>
      </c>
      <c r="J63" s="7">
        <v>45470</v>
      </c>
      <c r="K63" s="4" t="s">
        <v>235</v>
      </c>
    </row>
    <row r="64" spans="1:11" ht="15" customHeight="1">
      <c r="A64" t="s">
        <v>236</v>
      </c>
      <c r="B64" t="s">
        <v>237</v>
      </c>
      <c r="C64" t="s">
        <v>53</v>
      </c>
      <c r="D64" t="s">
        <v>238</v>
      </c>
      <c r="E64" s="1">
        <v>165</v>
      </c>
      <c r="F64" s="3">
        <v>0.23</v>
      </c>
      <c r="G64" t="s">
        <v>55</v>
      </c>
      <c r="H64">
        <v>35</v>
      </c>
      <c r="I64" t="s">
        <v>16</v>
      </c>
      <c r="J64" s="2">
        <v>45471</v>
      </c>
    </row>
    <row r="65" spans="1:11" ht="15" customHeight="1">
      <c r="A65" s="4" t="s">
        <v>239</v>
      </c>
      <c r="B65" s="4" t="s">
        <v>240</v>
      </c>
      <c r="C65" s="4" t="s">
        <v>53</v>
      </c>
      <c r="D65" s="4" t="s">
        <v>238</v>
      </c>
      <c r="E65" s="5">
        <v>165</v>
      </c>
      <c r="F65" s="6">
        <v>0.23</v>
      </c>
      <c r="G65" s="4" t="s">
        <v>228</v>
      </c>
      <c r="H65" s="4">
        <v>0</v>
      </c>
      <c r="I65" s="4" t="s">
        <v>66</v>
      </c>
      <c r="J65" s="7">
        <v>45472</v>
      </c>
      <c r="K65" s="4" t="s">
        <v>241</v>
      </c>
    </row>
    <row r="66" spans="1:11" ht="15" customHeight="1">
      <c r="A66" t="s">
        <v>242</v>
      </c>
      <c r="B66" t="s">
        <v>243</v>
      </c>
      <c r="C66" t="s">
        <v>53</v>
      </c>
      <c r="D66" t="s">
        <v>186</v>
      </c>
      <c r="E66" s="1">
        <v>780</v>
      </c>
      <c r="F66" s="3">
        <v>0.23</v>
      </c>
      <c r="G66" t="s">
        <v>244</v>
      </c>
      <c r="H66">
        <v>12</v>
      </c>
      <c r="I66" t="s">
        <v>16</v>
      </c>
      <c r="J66" s="2">
        <v>45473</v>
      </c>
    </row>
    <row r="67" spans="1:11" ht="15" customHeight="1">
      <c r="A67" s="4" t="s">
        <v>245</v>
      </c>
      <c r="B67" s="4" t="s">
        <v>243</v>
      </c>
      <c r="C67" s="4" t="s">
        <v>53</v>
      </c>
      <c r="D67" s="4" t="s">
        <v>186</v>
      </c>
      <c r="E67" s="5">
        <v>780</v>
      </c>
      <c r="F67" s="6">
        <v>0.23</v>
      </c>
      <c r="G67" s="4" t="s">
        <v>246</v>
      </c>
      <c r="H67" s="4">
        <v>0</v>
      </c>
      <c r="I67" s="4" t="s">
        <v>66</v>
      </c>
      <c r="J67" s="7">
        <v>45474</v>
      </c>
      <c r="K67" s="4" t="s">
        <v>247</v>
      </c>
    </row>
    <row r="68" spans="1:11" ht="15" customHeight="1">
      <c r="A68" t="s">
        <v>248</v>
      </c>
      <c r="B68" t="s">
        <v>249</v>
      </c>
      <c r="C68" t="s">
        <v>250</v>
      </c>
      <c r="D68" t="s">
        <v>251</v>
      </c>
      <c r="E68" s="1">
        <v>89</v>
      </c>
      <c r="F68" s="3">
        <v>0.23</v>
      </c>
      <c r="G68" t="s">
        <v>252</v>
      </c>
      <c r="H68">
        <v>63</v>
      </c>
      <c r="I68" t="s">
        <v>16</v>
      </c>
      <c r="J68" s="2">
        <v>45475</v>
      </c>
    </row>
    <row r="69" spans="1:11" ht="15" customHeight="1">
      <c r="A69" s="4" t="s">
        <v>253</v>
      </c>
      <c r="B69" s="4" t="s">
        <v>254</v>
      </c>
      <c r="C69" s="4" t="s">
        <v>250</v>
      </c>
      <c r="D69" s="4" t="s">
        <v>251</v>
      </c>
      <c r="E69" s="5">
        <v>89</v>
      </c>
      <c r="F69" s="6">
        <v>0.23</v>
      </c>
      <c r="G69" s="4" t="s">
        <v>255</v>
      </c>
      <c r="H69" s="4">
        <v>0</v>
      </c>
      <c r="I69" s="4" t="s">
        <v>66</v>
      </c>
      <c r="J69" s="7">
        <v>45476</v>
      </c>
      <c r="K69" s="4" t="s">
        <v>256</v>
      </c>
    </row>
    <row r="70" spans="1:11" ht="15" customHeight="1">
      <c r="A70" t="s">
        <v>257</v>
      </c>
      <c r="B70" t="s">
        <v>258</v>
      </c>
      <c r="C70" t="s">
        <v>250</v>
      </c>
      <c r="D70" t="s">
        <v>46</v>
      </c>
      <c r="E70" s="1">
        <v>145</v>
      </c>
      <c r="F70" s="3">
        <v>0.23</v>
      </c>
      <c r="G70" t="s">
        <v>252</v>
      </c>
      <c r="H70">
        <v>27</v>
      </c>
      <c r="I70" t="s">
        <v>16</v>
      </c>
      <c r="J70" s="2">
        <v>45477</v>
      </c>
    </row>
    <row r="71" spans="1:11" ht="15" customHeight="1">
      <c r="A71" s="4" t="s">
        <v>259</v>
      </c>
      <c r="B71" s="4" t="s">
        <v>260</v>
      </c>
      <c r="C71" s="4" t="s">
        <v>250</v>
      </c>
      <c r="D71" s="4" t="s">
        <v>46</v>
      </c>
      <c r="E71" s="5">
        <v>145</v>
      </c>
      <c r="F71" s="6">
        <v>0.23</v>
      </c>
      <c r="G71" s="4" t="s">
        <v>255</v>
      </c>
      <c r="H71" s="4">
        <v>0</v>
      </c>
      <c r="I71" s="4" t="s">
        <v>66</v>
      </c>
      <c r="J71" s="7">
        <v>45478</v>
      </c>
      <c r="K71" s="4" t="s">
        <v>261</v>
      </c>
    </row>
    <row r="72" spans="1:11" ht="15" customHeight="1">
      <c r="A72" t="s">
        <v>262</v>
      </c>
      <c r="B72" t="s">
        <v>263</v>
      </c>
      <c r="C72" t="s">
        <v>250</v>
      </c>
      <c r="D72" t="s">
        <v>14</v>
      </c>
      <c r="E72" s="1">
        <v>299</v>
      </c>
      <c r="F72" s="3">
        <v>0.23</v>
      </c>
      <c r="G72" t="s">
        <v>264</v>
      </c>
      <c r="H72">
        <v>18</v>
      </c>
      <c r="I72" t="s">
        <v>16</v>
      </c>
      <c r="J72" s="2">
        <v>45479</v>
      </c>
    </row>
    <row r="73" spans="1:11" ht="15" customHeight="1">
      <c r="A73" s="4" t="s">
        <v>265</v>
      </c>
      <c r="B73" s="4" t="s">
        <v>266</v>
      </c>
      <c r="C73" s="4" t="s">
        <v>250</v>
      </c>
      <c r="D73" s="4" t="s">
        <v>14</v>
      </c>
      <c r="E73" s="5">
        <v>299</v>
      </c>
      <c r="F73" s="6">
        <v>0.23</v>
      </c>
      <c r="G73" s="4" t="s">
        <v>267</v>
      </c>
      <c r="H73" s="4">
        <v>0</v>
      </c>
      <c r="I73" s="4" t="s">
        <v>66</v>
      </c>
      <c r="J73" s="7">
        <v>45480</v>
      </c>
      <c r="K73" s="4" t="s">
        <v>268</v>
      </c>
    </row>
    <row r="74" spans="1:11" ht="15" customHeight="1">
      <c r="A74" t="s">
        <v>269</v>
      </c>
      <c r="B74" t="s">
        <v>270</v>
      </c>
      <c r="C74" t="s">
        <v>135</v>
      </c>
      <c r="D74" t="s">
        <v>271</v>
      </c>
      <c r="E74" s="1">
        <v>110</v>
      </c>
      <c r="F74" s="3">
        <v>0.23</v>
      </c>
      <c r="G74" t="s">
        <v>272</v>
      </c>
      <c r="H74">
        <v>44</v>
      </c>
      <c r="I74" t="s">
        <v>16</v>
      </c>
      <c r="J74" s="2">
        <v>45481</v>
      </c>
    </row>
    <row r="75" spans="1:11" ht="15" customHeight="1">
      <c r="A75" s="4" t="s">
        <v>273</v>
      </c>
      <c r="B75" s="4" t="s">
        <v>274</v>
      </c>
      <c r="C75" s="4" t="s">
        <v>135</v>
      </c>
      <c r="D75" s="4" t="s">
        <v>271</v>
      </c>
      <c r="E75" s="5">
        <v>110</v>
      </c>
      <c r="F75" s="6">
        <v>0.23</v>
      </c>
      <c r="G75" s="4" t="s">
        <v>275</v>
      </c>
      <c r="H75" s="4">
        <v>0</v>
      </c>
      <c r="I75" s="4" t="s">
        <v>66</v>
      </c>
      <c r="J75" s="7">
        <v>45482</v>
      </c>
      <c r="K75" s="4" t="s">
        <v>276</v>
      </c>
    </row>
    <row r="76" spans="1:11" ht="15" customHeight="1">
      <c r="A76" t="s">
        <v>277</v>
      </c>
      <c r="B76" t="s">
        <v>278</v>
      </c>
      <c r="C76" t="s">
        <v>135</v>
      </c>
      <c r="D76" t="s">
        <v>279</v>
      </c>
      <c r="E76" s="1">
        <v>45</v>
      </c>
      <c r="F76" s="3">
        <v>0.23</v>
      </c>
      <c r="G76" t="s">
        <v>272</v>
      </c>
      <c r="H76">
        <v>79</v>
      </c>
      <c r="I76" t="s">
        <v>16</v>
      </c>
      <c r="J76" s="2">
        <v>45483</v>
      </c>
    </row>
    <row r="77" spans="1:11" ht="15" customHeight="1">
      <c r="A77" s="4" t="s">
        <v>280</v>
      </c>
      <c r="B77" s="4" t="s">
        <v>281</v>
      </c>
      <c r="C77" s="4" t="s">
        <v>135</v>
      </c>
      <c r="D77" s="4" t="s">
        <v>279</v>
      </c>
      <c r="E77" s="5">
        <v>45</v>
      </c>
      <c r="F77" s="6">
        <v>0.23</v>
      </c>
      <c r="G77" s="4" t="s">
        <v>275</v>
      </c>
      <c r="H77" s="4">
        <v>0</v>
      </c>
      <c r="I77" s="4" t="s">
        <v>66</v>
      </c>
      <c r="J77" s="7">
        <v>45484</v>
      </c>
      <c r="K77" s="4" t="s">
        <v>282</v>
      </c>
    </row>
    <row r="78" spans="1:11" ht="15" customHeight="1">
      <c r="A78" t="s">
        <v>283</v>
      </c>
      <c r="B78" t="s">
        <v>284</v>
      </c>
      <c r="C78" t="s">
        <v>176</v>
      </c>
      <c r="D78" t="s">
        <v>285</v>
      </c>
      <c r="E78" s="1">
        <v>189</v>
      </c>
      <c r="F78" s="3">
        <v>0.23</v>
      </c>
      <c r="G78" t="s">
        <v>178</v>
      </c>
      <c r="H78" t="s">
        <v>179</v>
      </c>
      <c r="I78" t="s">
        <v>16</v>
      </c>
      <c r="J78" s="2">
        <v>45485</v>
      </c>
      <c r="K78" t="s">
        <v>180</v>
      </c>
    </row>
    <row r="79" spans="1:11" ht="15" customHeight="1">
      <c r="A79" s="4" t="s">
        <v>286</v>
      </c>
      <c r="B79" s="4" t="s">
        <v>287</v>
      </c>
      <c r="C79" s="4" t="s">
        <v>176</v>
      </c>
      <c r="D79" s="4" t="s">
        <v>285</v>
      </c>
      <c r="E79" s="5">
        <v>189</v>
      </c>
      <c r="F79" s="6">
        <v>0.23</v>
      </c>
      <c r="G79" s="4" t="s">
        <v>178</v>
      </c>
      <c r="H79" s="4" t="s">
        <v>179</v>
      </c>
      <c r="I79" s="4" t="s">
        <v>66</v>
      </c>
      <c r="J79" s="7">
        <v>45486</v>
      </c>
      <c r="K79" s="4" t="s">
        <v>288</v>
      </c>
    </row>
    <row r="80" spans="1:11" ht="15" customHeight="1">
      <c r="A80" t="s">
        <v>289</v>
      </c>
      <c r="B80" t="s">
        <v>290</v>
      </c>
      <c r="C80" t="s">
        <v>176</v>
      </c>
      <c r="D80" t="s">
        <v>291</v>
      </c>
      <c r="E80" s="1">
        <v>289</v>
      </c>
      <c r="F80" s="3">
        <v>0.23</v>
      </c>
      <c r="G80" t="s">
        <v>292</v>
      </c>
      <c r="H80" t="s">
        <v>179</v>
      </c>
      <c r="I80" t="s">
        <v>16</v>
      </c>
      <c r="J80" s="2">
        <v>45487</v>
      </c>
      <c r="K80" t="s">
        <v>180</v>
      </c>
    </row>
    <row r="81" spans="1:11" ht="15" customHeight="1">
      <c r="A81" s="4" t="s">
        <v>293</v>
      </c>
      <c r="B81" s="4" t="s">
        <v>294</v>
      </c>
      <c r="C81" s="4" t="s">
        <v>176</v>
      </c>
      <c r="D81" s="4" t="s">
        <v>291</v>
      </c>
      <c r="E81" s="5">
        <v>289</v>
      </c>
      <c r="F81" s="6">
        <v>0.23</v>
      </c>
      <c r="G81" s="4" t="s">
        <v>295</v>
      </c>
      <c r="H81" s="4" t="s">
        <v>179</v>
      </c>
      <c r="I81" s="4" t="s">
        <v>66</v>
      </c>
      <c r="J81" s="7">
        <v>45488</v>
      </c>
      <c r="K81" s="4" t="s">
        <v>296</v>
      </c>
    </row>
    <row r="82" spans="1:11" ht="15" customHeight="1">
      <c r="A82" t="s">
        <v>297</v>
      </c>
      <c r="B82" t="s">
        <v>298</v>
      </c>
      <c r="C82" t="s">
        <v>13</v>
      </c>
      <c r="D82" t="s">
        <v>299</v>
      </c>
      <c r="E82" s="1">
        <v>499</v>
      </c>
      <c r="F82" s="3">
        <v>0.23</v>
      </c>
      <c r="G82" t="s">
        <v>15</v>
      </c>
      <c r="H82">
        <v>23</v>
      </c>
      <c r="I82" t="s">
        <v>16</v>
      </c>
      <c r="J82" s="2">
        <v>45489</v>
      </c>
    </row>
    <row r="83" spans="1:11" ht="15" customHeight="1">
      <c r="A83" s="4" t="s">
        <v>300</v>
      </c>
      <c r="B83" s="4" t="s">
        <v>301</v>
      </c>
      <c r="C83" s="4" t="s">
        <v>13</v>
      </c>
      <c r="D83" s="4" t="s">
        <v>302</v>
      </c>
      <c r="E83" s="5">
        <v>499</v>
      </c>
      <c r="F83" s="6">
        <v>0.23</v>
      </c>
      <c r="G83" s="4" t="s">
        <v>114</v>
      </c>
      <c r="H83" s="4">
        <v>0</v>
      </c>
      <c r="I83" s="4" t="s">
        <v>66</v>
      </c>
      <c r="J83" s="7">
        <v>45490</v>
      </c>
      <c r="K83" s="4" t="s">
        <v>303</v>
      </c>
    </row>
    <row r="84" spans="1:11" ht="15" customHeight="1">
      <c r="A84" s="4" t="s">
        <v>304</v>
      </c>
      <c r="B84" s="4" t="s">
        <v>305</v>
      </c>
      <c r="C84" s="4" t="s">
        <v>13</v>
      </c>
      <c r="D84" s="4" t="s">
        <v>299</v>
      </c>
      <c r="E84" s="5">
        <v>499</v>
      </c>
      <c r="F84" s="6">
        <v>0.23</v>
      </c>
      <c r="G84" s="4" t="s">
        <v>110</v>
      </c>
      <c r="H84" s="4">
        <v>0</v>
      </c>
      <c r="I84" s="4" t="s">
        <v>66</v>
      </c>
      <c r="J84" s="7">
        <v>45491</v>
      </c>
      <c r="K84" s="4" t="s">
        <v>303</v>
      </c>
    </row>
    <row r="85" spans="1:11" ht="15" customHeight="1">
      <c r="A85" t="s">
        <v>306</v>
      </c>
      <c r="B85" t="s">
        <v>307</v>
      </c>
      <c r="C85" t="s">
        <v>13</v>
      </c>
      <c r="D85" t="s">
        <v>14</v>
      </c>
      <c r="E85" s="1">
        <v>549</v>
      </c>
      <c r="F85" s="3">
        <v>0.23</v>
      </c>
      <c r="G85" t="s">
        <v>15</v>
      </c>
      <c r="H85">
        <v>18</v>
      </c>
      <c r="I85" t="s">
        <v>16</v>
      </c>
      <c r="J85" s="2">
        <v>45492</v>
      </c>
    </row>
    <row r="86" spans="1:11" ht="15" customHeight="1">
      <c r="A86" s="4" t="s">
        <v>308</v>
      </c>
      <c r="B86" s="4" t="s">
        <v>309</v>
      </c>
      <c r="C86" s="4" t="s">
        <v>13</v>
      </c>
      <c r="D86" s="4" t="s">
        <v>14</v>
      </c>
      <c r="E86" s="5">
        <v>549</v>
      </c>
      <c r="F86" s="6">
        <v>0.23</v>
      </c>
      <c r="G86" s="4" t="s">
        <v>110</v>
      </c>
      <c r="H86" s="4">
        <v>0</v>
      </c>
      <c r="I86" s="4" t="s">
        <v>66</v>
      </c>
      <c r="J86" s="7">
        <v>45493</v>
      </c>
      <c r="K86" s="4" t="s">
        <v>310</v>
      </c>
    </row>
    <row r="87" spans="1:11" ht="15" customHeight="1">
      <c r="A87" s="4" t="s">
        <v>311</v>
      </c>
      <c r="B87" s="4" t="s">
        <v>307</v>
      </c>
      <c r="C87" s="4" t="s">
        <v>13</v>
      </c>
      <c r="D87" s="4" t="s">
        <v>14</v>
      </c>
      <c r="E87" s="5">
        <v>549</v>
      </c>
      <c r="F87" s="6">
        <v>0.23</v>
      </c>
      <c r="G87" s="4" t="s">
        <v>15</v>
      </c>
      <c r="H87" s="4">
        <v>0</v>
      </c>
      <c r="I87" s="4" t="s">
        <v>66</v>
      </c>
      <c r="J87" s="7">
        <v>45494</v>
      </c>
      <c r="K87" s="4" t="s">
        <v>310</v>
      </c>
    </row>
    <row r="88" spans="1:11" ht="15" customHeight="1">
      <c r="A88" t="s">
        <v>312</v>
      </c>
      <c r="B88" t="s">
        <v>313</v>
      </c>
      <c r="C88" t="s">
        <v>19</v>
      </c>
      <c r="D88" t="s">
        <v>20</v>
      </c>
      <c r="E88" s="1">
        <v>49</v>
      </c>
      <c r="F88" s="3">
        <v>0.23</v>
      </c>
      <c r="G88" t="s">
        <v>21</v>
      </c>
      <c r="H88">
        <v>119</v>
      </c>
      <c r="I88" t="s">
        <v>16</v>
      </c>
      <c r="J88" s="2">
        <v>45495</v>
      </c>
    </row>
    <row r="89" spans="1:11" ht="15" customHeight="1">
      <c r="A89" s="4" t="s">
        <v>314</v>
      </c>
      <c r="B89" s="4" t="s">
        <v>315</v>
      </c>
      <c r="C89" s="4" t="s">
        <v>19</v>
      </c>
      <c r="D89" s="4" t="s">
        <v>20</v>
      </c>
      <c r="E89" s="5">
        <v>49</v>
      </c>
      <c r="F89" s="6">
        <v>0.23</v>
      </c>
      <c r="G89" s="4" t="s">
        <v>316</v>
      </c>
      <c r="H89" s="4">
        <v>0</v>
      </c>
      <c r="I89" s="4" t="s">
        <v>66</v>
      </c>
      <c r="J89" s="7">
        <v>45496</v>
      </c>
      <c r="K89" s="4" t="s">
        <v>317</v>
      </c>
    </row>
    <row r="90" spans="1:11" ht="15" customHeight="1">
      <c r="A90" t="s">
        <v>318</v>
      </c>
      <c r="B90" t="s">
        <v>319</v>
      </c>
      <c r="C90" t="s">
        <v>19</v>
      </c>
      <c r="D90" t="s">
        <v>24</v>
      </c>
      <c r="E90" s="1">
        <v>29</v>
      </c>
      <c r="F90" s="3">
        <v>0.23</v>
      </c>
      <c r="G90" t="s">
        <v>25</v>
      </c>
      <c r="H90">
        <v>190</v>
      </c>
      <c r="I90" t="s">
        <v>16</v>
      </c>
      <c r="J90" s="2">
        <v>45497</v>
      </c>
    </row>
    <row r="91" spans="1:11" ht="15" customHeight="1">
      <c r="A91" s="4" t="s">
        <v>320</v>
      </c>
      <c r="B91" s="4" t="s">
        <v>321</v>
      </c>
      <c r="C91" s="4" t="s">
        <v>19</v>
      </c>
      <c r="D91" s="4" t="s">
        <v>24</v>
      </c>
      <c r="E91" s="5">
        <v>29</v>
      </c>
      <c r="F91" s="6">
        <v>0.23</v>
      </c>
      <c r="G91" s="4" t="s">
        <v>322</v>
      </c>
      <c r="H91" s="4">
        <v>0</v>
      </c>
      <c r="I91" s="4" t="s">
        <v>66</v>
      </c>
      <c r="J91" s="7">
        <v>45498</v>
      </c>
      <c r="K91" s="4" t="s">
        <v>323</v>
      </c>
    </row>
    <row r="92" spans="1:11" ht="15" customHeight="1">
      <c r="A92" t="s">
        <v>324</v>
      </c>
      <c r="B92" t="s">
        <v>325</v>
      </c>
      <c r="C92" t="s">
        <v>35</v>
      </c>
      <c r="D92" t="s">
        <v>36</v>
      </c>
      <c r="E92" s="1">
        <v>245</v>
      </c>
      <c r="F92" s="3">
        <v>0.23</v>
      </c>
      <c r="G92" t="s">
        <v>37</v>
      </c>
      <c r="H92">
        <v>53</v>
      </c>
      <c r="I92" t="s">
        <v>16</v>
      </c>
      <c r="J92" s="2">
        <v>45499</v>
      </c>
    </row>
    <row r="93" spans="1:11" ht="15" customHeight="1">
      <c r="A93" s="4" t="s">
        <v>326</v>
      </c>
      <c r="B93" s="4" t="s">
        <v>327</v>
      </c>
      <c r="C93" s="4" t="s">
        <v>35</v>
      </c>
      <c r="D93" s="4" t="s">
        <v>36</v>
      </c>
      <c r="E93" s="5">
        <v>245</v>
      </c>
      <c r="F93" s="6">
        <v>0.23</v>
      </c>
      <c r="G93" s="4" t="s">
        <v>216</v>
      </c>
      <c r="H93" s="4">
        <v>0</v>
      </c>
      <c r="I93" s="4" t="s">
        <v>66</v>
      </c>
      <c r="J93" s="7">
        <v>45500</v>
      </c>
      <c r="K93" s="4" t="s">
        <v>328</v>
      </c>
    </row>
    <row r="94" spans="1:11" ht="15" customHeight="1">
      <c r="A94" s="4" t="s">
        <v>329</v>
      </c>
      <c r="B94" s="4" t="s">
        <v>325</v>
      </c>
      <c r="C94" s="4" t="s">
        <v>35</v>
      </c>
      <c r="D94" s="4"/>
      <c r="E94" s="5">
        <v>245</v>
      </c>
      <c r="F94" s="6">
        <v>0.23</v>
      </c>
      <c r="G94" s="4" t="s">
        <v>37</v>
      </c>
      <c r="H94" s="4">
        <v>0</v>
      </c>
      <c r="I94" s="4" t="s">
        <v>66</v>
      </c>
      <c r="J94" s="7">
        <v>45501</v>
      </c>
      <c r="K94" s="4" t="s">
        <v>328</v>
      </c>
    </row>
    <row r="95" spans="1:11" ht="15" customHeight="1">
      <c r="A95" t="s">
        <v>330</v>
      </c>
      <c r="B95" t="s">
        <v>331</v>
      </c>
      <c r="C95" t="s">
        <v>35</v>
      </c>
      <c r="D95" t="s">
        <v>220</v>
      </c>
      <c r="E95" s="1">
        <v>699</v>
      </c>
      <c r="F95" s="3">
        <v>0.23</v>
      </c>
      <c r="G95" t="s">
        <v>221</v>
      </c>
      <c r="H95">
        <v>8</v>
      </c>
      <c r="I95" t="s">
        <v>16</v>
      </c>
      <c r="J95" s="2">
        <v>45502</v>
      </c>
    </row>
    <row r="96" spans="1:11" ht="15" customHeight="1">
      <c r="A96" s="4" t="s">
        <v>332</v>
      </c>
      <c r="B96" s="4" t="s">
        <v>333</v>
      </c>
      <c r="C96" s="4" t="s">
        <v>35</v>
      </c>
      <c r="D96" s="4" t="s">
        <v>220</v>
      </c>
      <c r="E96" s="5">
        <v>699</v>
      </c>
      <c r="F96" s="6">
        <v>0.23</v>
      </c>
      <c r="G96" s="4" t="s">
        <v>221</v>
      </c>
      <c r="H96" s="4">
        <v>0</v>
      </c>
      <c r="I96" s="4" t="s">
        <v>66</v>
      </c>
      <c r="J96" s="7">
        <v>45503</v>
      </c>
      <c r="K96" s="4" t="s">
        <v>334</v>
      </c>
    </row>
    <row r="97" spans="1:11" ht="15" customHeight="1">
      <c r="A97" t="s">
        <v>335</v>
      </c>
      <c r="B97" t="s">
        <v>336</v>
      </c>
      <c r="C97" t="s">
        <v>19</v>
      </c>
      <c r="D97" t="s">
        <v>31</v>
      </c>
      <c r="E97" s="1">
        <v>129</v>
      </c>
      <c r="F97" s="3">
        <v>0.23</v>
      </c>
      <c r="G97" t="s">
        <v>32</v>
      </c>
      <c r="H97">
        <v>45</v>
      </c>
      <c r="I97" t="s">
        <v>16</v>
      </c>
      <c r="J97" s="2">
        <v>45504</v>
      </c>
    </row>
    <row r="98" spans="1:11" ht="15" customHeight="1">
      <c r="A98" s="4" t="s">
        <v>337</v>
      </c>
      <c r="B98" s="4" t="s">
        <v>338</v>
      </c>
      <c r="C98" s="4" t="s">
        <v>19</v>
      </c>
      <c r="D98" s="4" t="s">
        <v>31</v>
      </c>
      <c r="E98" s="5">
        <v>129</v>
      </c>
      <c r="F98" s="6">
        <v>0.23</v>
      </c>
      <c r="G98" s="4" t="s">
        <v>165</v>
      </c>
      <c r="H98" s="4">
        <v>0</v>
      </c>
      <c r="I98" s="4" t="s">
        <v>66</v>
      </c>
      <c r="J98" s="7">
        <v>45505</v>
      </c>
      <c r="K98" s="4" t="s">
        <v>339</v>
      </c>
    </row>
    <row r="99" spans="1:11" ht="15" customHeight="1">
      <c r="A99" s="4" t="s">
        <v>340</v>
      </c>
      <c r="B99" s="4" t="s">
        <v>341</v>
      </c>
      <c r="C99" s="4" t="s">
        <v>19</v>
      </c>
      <c r="D99" s="4" t="s">
        <v>31</v>
      </c>
      <c r="E99" s="5">
        <v>129</v>
      </c>
      <c r="F99" s="6">
        <v>0.23</v>
      </c>
      <c r="G99" s="4" t="s">
        <v>342</v>
      </c>
      <c r="H99" s="4">
        <v>0</v>
      </c>
      <c r="I99" s="4" t="s">
        <v>66</v>
      </c>
      <c r="J99" s="7">
        <v>45506</v>
      </c>
      <c r="K99" s="4" t="s">
        <v>339</v>
      </c>
    </row>
    <row r="100" spans="1:11" ht="15" customHeight="1">
      <c r="A100" t="s">
        <v>343</v>
      </c>
      <c r="B100" t="s">
        <v>344</v>
      </c>
      <c r="C100" t="s">
        <v>53</v>
      </c>
      <c r="D100" t="s">
        <v>58</v>
      </c>
      <c r="E100" s="1">
        <v>340</v>
      </c>
      <c r="F100" s="3">
        <v>0.23</v>
      </c>
      <c r="G100" t="s">
        <v>55</v>
      </c>
      <c r="H100">
        <v>16</v>
      </c>
      <c r="I100" t="s">
        <v>16</v>
      </c>
      <c r="J100" s="2">
        <v>45507</v>
      </c>
    </row>
    <row r="101" spans="1:11" ht="15" customHeight="1">
      <c r="A101" s="4" t="s">
        <v>345</v>
      </c>
      <c r="B101" s="4" t="s">
        <v>346</v>
      </c>
      <c r="C101" s="4" t="s">
        <v>53</v>
      </c>
      <c r="D101" s="4" t="s">
        <v>58</v>
      </c>
      <c r="E101" s="5">
        <v>340</v>
      </c>
      <c r="F101" s="6">
        <v>0.23</v>
      </c>
      <c r="G101" s="4" t="s">
        <v>228</v>
      </c>
      <c r="H101" s="4">
        <v>0</v>
      </c>
      <c r="I101" s="4" t="s">
        <v>66</v>
      </c>
      <c r="J101" s="7">
        <v>45508</v>
      </c>
      <c r="K101" s="4" t="s">
        <v>347</v>
      </c>
    </row>
    <row r="102" spans="1:11" ht="15" customHeight="1">
      <c r="A102" t="s">
        <v>348</v>
      </c>
      <c r="B102" t="s">
        <v>349</v>
      </c>
      <c r="C102" t="s">
        <v>53</v>
      </c>
      <c r="D102" t="s">
        <v>238</v>
      </c>
      <c r="E102" s="1">
        <v>215</v>
      </c>
      <c r="F102" s="3">
        <v>0.23</v>
      </c>
      <c r="G102" t="s">
        <v>55</v>
      </c>
      <c r="H102">
        <v>24</v>
      </c>
      <c r="I102" t="s">
        <v>16</v>
      </c>
      <c r="J102" s="2">
        <v>45509</v>
      </c>
    </row>
    <row r="103" spans="1:11" ht="15" customHeight="1">
      <c r="A103" s="4" t="s">
        <v>350</v>
      </c>
      <c r="B103" s="4" t="s">
        <v>351</v>
      </c>
      <c r="C103" s="4" t="s">
        <v>53</v>
      </c>
      <c r="D103" s="4" t="s">
        <v>238</v>
      </c>
      <c r="E103" s="5">
        <v>215</v>
      </c>
      <c r="F103" s="6">
        <v>0.23</v>
      </c>
      <c r="G103" s="4" t="s">
        <v>234</v>
      </c>
      <c r="H103" s="4">
        <v>0</v>
      </c>
      <c r="I103" s="4" t="s">
        <v>66</v>
      </c>
      <c r="J103" s="7">
        <v>45510</v>
      </c>
      <c r="K103" s="4" t="s">
        <v>352</v>
      </c>
    </row>
    <row r="104" spans="1:11" ht="15" customHeight="1">
      <c r="A104" t="s">
        <v>353</v>
      </c>
      <c r="B104" t="s">
        <v>354</v>
      </c>
      <c r="C104" t="s">
        <v>135</v>
      </c>
      <c r="D104" t="s">
        <v>271</v>
      </c>
      <c r="E104" s="1">
        <v>389</v>
      </c>
      <c r="F104" s="3">
        <v>0.23</v>
      </c>
      <c r="G104" t="s">
        <v>272</v>
      </c>
      <c r="H104">
        <v>20</v>
      </c>
      <c r="I104" t="s">
        <v>16</v>
      </c>
      <c r="J104" s="2">
        <v>45511</v>
      </c>
    </row>
    <row r="105" spans="1:11" ht="15" customHeight="1">
      <c r="A105" s="4" t="s">
        <v>355</v>
      </c>
      <c r="B105" s="4" t="s">
        <v>356</v>
      </c>
      <c r="C105" s="4" t="s">
        <v>135</v>
      </c>
      <c r="D105" s="4" t="s">
        <v>271</v>
      </c>
      <c r="E105" s="5">
        <v>389</v>
      </c>
      <c r="F105" s="6">
        <v>0.23</v>
      </c>
      <c r="G105" s="4" t="s">
        <v>275</v>
      </c>
      <c r="H105" s="4">
        <v>0</v>
      </c>
      <c r="I105" s="4" t="s">
        <v>66</v>
      </c>
      <c r="J105" s="7">
        <v>45512</v>
      </c>
      <c r="K105" s="4" t="s">
        <v>357</v>
      </c>
    </row>
    <row r="106" spans="1:11" ht="15" customHeight="1">
      <c r="A106" t="s">
        <v>358</v>
      </c>
      <c r="B106" t="s">
        <v>359</v>
      </c>
      <c r="C106" t="s">
        <v>176</v>
      </c>
      <c r="D106" t="s">
        <v>285</v>
      </c>
      <c r="E106" s="1">
        <v>899</v>
      </c>
      <c r="F106" s="3">
        <v>0.23</v>
      </c>
      <c r="G106" t="s">
        <v>178</v>
      </c>
      <c r="H106" t="s">
        <v>179</v>
      </c>
      <c r="I106" t="s">
        <v>16</v>
      </c>
      <c r="J106" s="2">
        <v>45513</v>
      </c>
      <c r="K106" t="s">
        <v>180</v>
      </c>
    </row>
    <row r="107" spans="1:11" ht="15" customHeight="1">
      <c r="A107" s="4" t="s">
        <v>360</v>
      </c>
      <c r="B107" s="4" t="s">
        <v>361</v>
      </c>
      <c r="C107" s="4" t="s">
        <v>176</v>
      </c>
      <c r="D107" s="4" t="s">
        <v>285</v>
      </c>
      <c r="E107" s="5">
        <v>899</v>
      </c>
      <c r="F107" s="6">
        <v>0.23</v>
      </c>
      <c r="G107" s="4" t="s">
        <v>362</v>
      </c>
      <c r="H107" s="4" t="s">
        <v>179</v>
      </c>
      <c r="I107" s="4" t="s">
        <v>66</v>
      </c>
      <c r="J107" s="7">
        <v>45514</v>
      </c>
      <c r="K107" s="4" t="s">
        <v>363</v>
      </c>
    </row>
    <row r="108" spans="1:11" ht="15" customHeight="1">
      <c r="A108" t="s">
        <v>364</v>
      </c>
      <c r="B108" t="s">
        <v>365</v>
      </c>
      <c r="C108" t="s">
        <v>176</v>
      </c>
      <c r="D108" t="s">
        <v>291</v>
      </c>
      <c r="E108" s="1">
        <v>299</v>
      </c>
      <c r="F108" s="3">
        <v>0.23</v>
      </c>
      <c r="G108" t="s">
        <v>292</v>
      </c>
      <c r="H108" t="s">
        <v>179</v>
      </c>
      <c r="I108" t="s">
        <v>16</v>
      </c>
      <c r="J108" s="2">
        <v>45515</v>
      </c>
      <c r="K108" t="s">
        <v>180</v>
      </c>
    </row>
    <row r="109" spans="1:11" ht="15" customHeight="1">
      <c r="A109" s="4" t="s">
        <v>366</v>
      </c>
      <c r="B109" s="4" t="s">
        <v>367</v>
      </c>
      <c r="C109" s="4" t="s">
        <v>176</v>
      </c>
      <c r="D109" s="4" t="s">
        <v>291</v>
      </c>
      <c r="E109" s="5">
        <v>299</v>
      </c>
      <c r="F109" s="6">
        <v>0.23</v>
      </c>
      <c r="G109" s="4" t="s">
        <v>295</v>
      </c>
      <c r="H109" s="4" t="s">
        <v>179</v>
      </c>
      <c r="I109" s="4" t="s">
        <v>66</v>
      </c>
      <c r="J109" s="7">
        <v>45516</v>
      </c>
      <c r="K109" s="4" t="s">
        <v>368</v>
      </c>
    </row>
    <row r="110" spans="1:11" ht="15" customHeight="1">
      <c r="A110" t="s">
        <v>369</v>
      </c>
      <c r="B110" t="s">
        <v>370</v>
      </c>
      <c r="C110" t="s">
        <v>176</v>
      </c>
      <c r="D110" t="s">
        <v>371</v>
      </c>
      <c r="E110" s="1">
        <v>699</v>
      </c>
      <c r="F110" s="3">
        <v>0.23</v>
      </c>
      <c r="G110" t="s">
        <v>178</v>
      </c>
      <c r="H110">
        <v>0</v>
      </c>
      <c r="I110" t="s">
        <v>16</v>
      </c>
      <c r="J110" s="2">
        <v>45517</v>
      </c>
      <c r="K110" t="s">
        <v>372</v>
      </c>
    </row>
    <row r="111" spans="1:11" ht="15" customHeight="1">
      <c r="A111" s="4" t="s">
        <v>373</v>
      </c>
      <c r="B111" s="4" t="s">
        <v>374</v>
      </c>
      <c r="C111" s="4" t="s">
        <v>176</v>
      </c>
      <c r="D111" s="4" t="s">
        <v>371</v>
      </c>
      <c r="E111" s="5">
        <v>699</v>
      </c>
      <c r="F111" s="6">
        <v>0.23</v>
      </c>
      <c r="G111" s="4" t="s">
        <v>178</v>
      </c>
      <c r="H111" s="4">
        <v>0</v>
      </c>
      <c r="I111" s="4" t="s">
        <v>66</v>
      </c>
      <c r="J111" s="7">
        <v>45518</v>
      </c>
      <c r="K111" s="4" t="s">
        <v>375</v>
      </c>
    </row>
    <row r="112" spans="1:11" ht="15" customHeight="1">
      <c r="A112" t="s">
        <v>376</v>
      </c>
      <c r="B112" t="s">
        <v>377</v>
      </c>
      <c r="C112" t="s">
        <v>13</v>
      </c>
      <c r="D112" t="s">
        <v>117</v>
      </c>
      <c r="E112" s="1">
        <v>899</v>
      </c>
      <c r="F112" s="3">
        <v>0.23</v>
      </c>
      <c r="G112" t="s">
        <v>15</v>
      </c>
      <c r="H112">
        <v>5</v>
      </c>
      <c r="I112" t="s">
        <v>66</v>
      </c>
      <c r="J112" s="2">
        <v>45519</v>
      </c>
      <c r="K112" t="s">
        <v>378</v>
      </c>
    </row>
    <row r="113" spans="1:11" ht="15" customHeight="1">
      <c r="A113" t="s">
        <v>379</v>
      </c>
      <c r="B113" t="s">
        <v>380</v>
      </c>
      <c r="C113" t="s">
        <v>13</v>
      </c>
      <c r="D113" t="s">
        <v>117</v>
      </c>
      <c r="E113" s="1">
        <v>949</v>
      </c>
      <c r="F113" s="3">
        <v>0.23</v>
      </c>
      <c r="G113" t="s">
        <v>15</v>
      </c>
      <c r="H113">
        <v>0</v>
      </c>
      <c r="I113" t="s">
        <v>16</v>
      </c>
      <c r="J113" s="2">
        <v>45520</v>
      </c>
      <c r="K113" t="s">
        <v>72</v>
      </c>
    </row>
    <row r="114" spans="1:11" ht="15" customHeight="1">
      <c r="A114" t="s">
        <v>381</v>
      </c>
      <c r="B114" t="s">
        <v>382</v>
      </c>
      <c r="C114" t="s">
        <v>45</v>
      </c>
      <c r="D114" t="s">
        <v>169</v>
      </c>
      <c r="E114" s="1">
        <v>149</v>
      </c>
      <c r="F114" s="3">
        <v>0.23</v>
      </c>
      <c r="G114" t="s">
        <v>47</v>
      </c>
      <c r="H114">
        <v>22</v>
      </c>
      <c r="I114" t="s">
        <v>16</v>
      </c>
      <c r="J114" s="2">
        <v>45521</v>
      </c>
    </row>
    <row r="115" spans="1:11" ht="15" customHeight="1">
      <c r="A115" s="4" t="s">
        <v>383</v>
      </c>
      <c r="B115" s="4" t="s">
        <v>384</v>
      </c>
      <c r="C115" s="4" t="s">
        <v>171</v>
      </c>
      <c r="D115" s="4" t="s">
        <v>169</v>
      </c>
      <c r="E115" s="5">
        <v>149</v>
      </c>
      <c r="F115" s="6">
        <v>0.23</v>
      </c>
      <c r="G115" s="4" t="s">
        <v>172</v>
      </c>
      <c r="H115" s="4">
        <v>0</v>
      </c>
      <c r="I115" s="4" t="s">
        <v>66</v>
      </c>
      <c r="J115" s="7">
        <v>45522</v>
      </c>
      <c r="K115" s="4" t="s">
        <v>385</v>
      </c>
    </row>
    <row r="116" spans="1:11" ht="15" customHeight="1">
      <c r="A116" s="4" t="s">
        <v>386</v>
      </c>
      <c r="B116" s="4" t="s">
        <v>387</v>
      </c>
      <c r="C116" s="4" t="s">
        <v>388</v>
      </c>
      <c r="D116" s="4" t="s">
        <v>389</v>
      </c>
      <c r="E116" s="5">
        <v>1</v>
      </c>
      <c r="F116" s="6">
        <v>0.23</v>
      </c>
      <c r="G116" s="4"/>
      <c r="H116" s="4" t="s">
        <v>179</v>
      </c>
      <c r="I116" s="4" t="s">
        <v>66</v>
      </c>
      <c r="J116" s="7">
        <v>72686</v>
      </c>
      <c r="K116" s="4" t="s">
        <v>390</v>
      </c>
    </row>
  </sheetData>
  <pageMargins left="0.7" right="0.7" top="0.75" bottom="0.75" header="0.511811023622047" footer="0.511811023622047"/>
  <pageSetup orientation="portrait" horizontalDpi="300" verticalDpi="30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51"/>
  <sheetViews>
    <sheetView zoomScaleNormal="100" workbookViewId="0">
      <selection sqref="A1:J151"/>
    </sheetView>
  </sheetViews>
  <sheetFormatPr defaultColWidth="8.5703125" defaultRowHeight="15" customHeight="1"/>
  <cols>
    <col min="1" max="1" width="12.85546875" customWidth="1"/>
    <col min="2" max="2" width="16.85546875" customWidth="1"/>
    <col min="3" max="3" width="10.7109375" customWidth="1"/>
    <col min="4" max="4" width="9.42578125" customWidth="1"/>
    <col min="5" max="5" width="23" customWidth="1"/>
    <col min="6" max="6" width="11.28515625" customWidth="1"/>
    <col min="7" max="7" width="15.140625" style="2" customWidth="1"/>
    <col min="8" max="8" width="9.5703125" customWidth="1"/>
    <col min="9" max="9" width="18.140625" customWidth="1"/>
    <col min="10" max="10" width="25.7109375" customWidth="1"/>
  </cols>
  <sheetData>
    <row r="1" spans="1:10" ht="15" customHeight="1">
      <c r="A1" t="s">
        <v>391</v>
      </c>
      <c r="B1" t="s">
        <v>392</v>
      </c>
      <c r="C1" t="s">
        <v>393</v>
      </c>
      <c r="D1" t="s">
        <v>394</v>
      </c>
      <c r="E1" t="s">
        <v>395</v>
      </c>
      <c r="F1" t="s">
        <v>396</v>
      </c>
      <c r="G1" s="2" t="s">
        <v>397</v>
      </c>
      <c r="H1" t="s">
        <v>8</v>
      </c>
      <c r="I1" t="s">
        <v>398</v>
      </c>
      <c r="J1" t="s">
        <v>10</v>
      </c>
    </row>
    <row r="2" spans="1:10" ht="15" customHeight="1">
      <c r="A2" t="s">
        <v>399</v>
      </c>
      <c r="B2" t="s">
        <v>400</v>
      </c>
      <c r="C2" t="s">
        <v>401</v>
      </c>
      <c r="D2" t="s">
        <v>401</v>
      </c>
      <c r="E2" t="s">
        <v>402</v>
      </c>
      <c r="F2" t="s">
        <v>403</v>
      </c>
      <c r="G2" s="2">
        <v>45303</v>
      </c>
      <c r="H2" t="s">
        <v>16</v>
      </c>
      <c r="I2" t="s">
        <v>404</v>
      </c>
    </row>
    <row r="3" spans="1:10" ht="15" customHeight="1">
      <c r="A3" t="s">
        <v>405</v>
      </c>
      <c r="B3" t="s">
        <v>406</v>
      </c>
      <c r="C3" t="s">
        <v>407</v>
      </c>
      <c r="D3" t="s">
        <v>408</v>
      </c>
      <c r="E3" t="s">
        <v>409</v>
      </c>
      <c r="F3" t="s">
        <v>410</v>
      </c>
      <c r="G3" s="2">
        <v>45306</v>
      </c>
      <c r="H3" t="s">
        <v>16</v>
      </c>
      <c r="I3" t="s">
        <v>411</v>
      </c>
    </row>
    <row r="4" spans="1:10" ht="15" customHeight="1">
      <c r="A4" t="s">
        <v>412</v>
      </c>
      <c r="B4" t="s">
        <v>413</v>
      </c>
      <c r="C4" t="s">
        <v>414</v>
      </c>
      <c r="D4" t="s">
        <v>415</v>
      </c>
      <c r="E4" t="s">
        <v>416</v>
      </c>
      <c r="F4" t="s">
        <v>417</v>
      </c>
      <c r="G4" s="2">
        <v>45337</v>
      </c>
      <c r="H4" t="s">
        <v>16</v>
      </c>
      <c r="I4" t="s">
        <v>404</v>
      </c>
    </row>
    <row r="5" spans="1:10" ht="15" customHeight="1">
      <c r="A5" t="s">
        <v>418</v>
      </c>
      <c r="B5" t="s">
        <v>419</v>
      </c>
      <c r="C5" t="s">
        <v>420</v>
      </c>
      <c r="D5" t="s">
        <v>408</v>
      </c>
      <c r="E5" t="s">
        <v>421</v>
      </c>
      <c r="F5" t="s">
        <v>422</v>
      </c>
      <c r="G5" s="2">
        <v>45352</v>
      </c>
      <c r="H5" t="s">
        <v>66</v>
      </c>
      <c r="I5" t="s">
        <v>423</v>
      </c>
    </row>
    <row r="6" spans="1:10" ht="15" customHeight="1">
      <c r="A6" t="s">
        <v>424</v>
      </c>
      <c r="B6" t="s">
        <v>425</v>
      </c>
      <c r="C6" t="s">
        <v>426</v>
      </c>
      <c r="D6" t="s">
        <v>415</v>
      </c>
      <c r="E6" t="s">
        <v>427</v>
      </c>
      <c r="F6" t="s">
        <v>428</v>
      </c>
      <c r="G6" s="2">
        <v>45366</v>
      </c>
      <c r="H6" t="s">
        <v>16</v>
      </c>
      <c r="I6" t="s">
        <v>404</v>
      </c>
    </row>
    <row r="7" spans="1:10" ht="15" customHeight="1">
      <c r="A7" t="s">
        <v>429</v>
      </c>
      <c r="B7" t="s">
        <v>430</v>
      </c>
      <c r="C7" t="s">
        <v>431</v>
      </c>
      <c r="D7" t="s">
        <v>432</v>
      </c>
      <c r="E7" t="s">
        <v>433</v>
      </c>
      <c r="F7" t="s">
        <v>434</v>
      </c>
      <c r="G7" s="2">
        <v>45376</v>
      </c>
      <c r="H7" t="s">
        <v>16</v>
      </c>
      <c r="I7" t="s">
        <v>411</v>
      </c>
    </row>
    <row r="8" spans="1:10" ht="15" customHeight="1">
      <c r="A8" t="s">
        <v>435</v>
      </c>
      <c r="B8" t="s">
        <v>436</v>
      </c>
      <c r="C8" t="s">
        <v>401</v>
      </c>
      <c r="D8" t="s">
        <v>401</v>
      </c>
      <c r="E8" t="s">
        <v>437</v>
      </c>
      <c r="F8" t="s">
        <v>438</v>
      </c>
      <c r="G8" s="2">
        <v>45383</v>
      </c>
      <c r="H8" t="s">
        <v>16</v>
      </c>
      <c r="I8" t="s">
        <v>439</v>
      </c>
    </row>
    <row r="9" spans="1:10" ht="15" customHeight="1">
      <c r="A9" t="s">
        <v>440</v>
      </c>
      <c r="B9" t="s">
        <v>441</v>
      </c>
      <c r="C9" t="s">
        <v>407</v>
      </c>
      <c r="D9" t="s">
        <v>408</v>
      </c>
      <c r="E9" t="s">
        <v>442</v>
      </c>
      <c r="F9" t="s">
        <v>443</v>
      </c>
      <c r="G9" s="2">
        <v>45394</v>
      </c>
      <c r="H9" t="s">
        <v>16</v>
      </c>
      <c r="I9" t="s">
        <v>404</v>
      </c>
    </row>
    <row r="10" spans="1:10" ht="15" customHeight="1">
      <c r="A10" t="s">
        <v>444</v>
      </c>
      <c r="B10" t="s">
        <v>445</v>
      </c>
      <c r="C10" t="s">
        <v>414</v>
      </c>
      <c r="D10" t="s">
        <v>415</v>
      </c>
      <c r="E10" t="s">
        <v>446</v>
      </c>
      <c r="F10" t="s">
        <v>447</v>
      </c>
      <c r="G10" s="2">
        <v>45400</v>
      </c>
      <c r="H10" t="s">
        <v>16</v>
      </c>
      <c r="I10" t="s">
        <v>404</v>
      </c>
    </row>
    <row r="11" spans="1:10" ht="15" customHeight="1">
      <c r="A11" t="s">
        <v>448</v>
      </c>
      <c r="B11" t="s">
        <v>449</v>
      </c>
      <c r="C11" t="s">
        <v>420</v>
      </c>
      <c r="D11" t="s">
        <v>408</v>
      </c>
      <c r="E11" t="s">
        <v>450</v>
      </c>
      <c r="F11" t="s">
        <v>451</v>
      </c>
      <c r="G11" s="2">
        <v>45413</v>
      </c>
      <c r="H11" t="s">
        <v>16</v>
      </c>
      <c r="I11" t="s">
        <v>452</v>
      </c>
    </row>
    <row r="12" spans="1:10" ht="15" customHeight="1">
      <c r="A12" t="s">
        <v>453</v>
      </c>
      <c r="B12" t="s">
        <v>454</v>
      </c>
      <c r="C12" t="s">
        <v>401</v>
      </c>
      <c r="D12" t="s">
        <v>401</v>
      </c>
      <c r="E12" t="s">
        <v>455</v>
      </c>
      <c r="F12" t="s">
        <v>456</v>
      </c>
      <c r="G12" s="2">
        <v>45415</v>
      </c>
      <c r="H12" t="s">
        <v>16</v>
      </c>
      <c r="I12" t="s">
        <v>404</v>
      </c>
    </row>
    <row r="13" spans="1:10" ht="15" customHeight="1">
      <c r="A13" t="s">
        <v>457</v>
      </c>
      <c r="B13" t="s">
        <v>458</v>
      </c>
      <c r="C13" t="s">
        <v>459</v>
      </c>
      <c r="D13" t="s">
        <v>460</v>
      </c>
      <c r="E13" t="s">
        <v>461</v>
      </c>
      <c r="F13" t="s">
        <v>462</v>
      </c>
      <c r="G13" s="2">
        <v>45422</v>
      </c>
      <c r="H13" t="s">
        <v>16</v>
      </c>
      <c r="I13" t="s">
        <v>423</v>
      </c>
    </row>
    <row r="14" spans="1:10" ht="15" customHeight="1">
      <c r="A14" t="s">
        <v>463</v>
      </c>
      <c r="B14" t="s">
        <v>464</v>
      </c>
      <c r="C14" t="s">
        <v>465</v>
      </c>
      <c r="D14" t="s">
        <v>415</v>
      </c>
      <c r="E14" t="s">
        <v>466</v>
      </c>
      <c r="F14" t="s">
        <v>467</v>
      </c>
      <c r="G14" s="2">
        <v>45424</v>
      </c>
      <c r="H14" t="s">
        <v>16</v>
      </c>
      <c r="I14" t="s">
        <v>404</v>
      </c>
    </row>
    <row r="15" spans="1:10" ht="15" customHeight="1">
      <c r="A15" t="s">
        <v>468</v>
      </c>
      <c r="B15" t="s">
        <v>469</v>
      </c>
      <c r="C15" t="s">
        <v>470</v>
      </c>
      <c r="D15" t="s">
        <v>415</v>
      </c>
      <c r="E15" t="s">
        <v>471</v>
      </c>
      <c r="F15" t="s">
        <v>472</v>
      </c>
      <c r="G15" s="2">
        <v>45432</v>
      </c>
      <c r="H15" t="s">
        <v>16</v>
      </c>
      <c r="I15" t="s">
        <v>404</v>
      </c>
    </row>
    <row r="16" spans="1:10" ht="15" customHeight="1">
      <c r="A16" t="s">
        <v>473</v>
      </c>
      <c r="B16" t="s">
        <v>474</v>
      </c>
      <c r="C16" t="s">
        <v>407</v>
      </c>
      <c r="D16" t="s">
        <v>408</v>
      </c>
      <c r="E16" t="s">
        <v>475</v>
      </c>
      <c r="F16" t="s">
        <v>476</v>
      </c>
      <c r="G16" s="2">
        <v>45444</v>
      </c>
      <c r="H16" t="s">
        <v>16</v>
      </c>
      <c r="I16" t="s">
        <v>439</v>
      </c>
    </row>
    <row r="17" spans="1:10" ht="15" customHeight="1">
      <c r="A17" t="s">
        <v>477</v>
      </c>
      <c r="B17" t="s">
        <v>478</v>
      </c>
      <c r="C17" t="s">
        <v>479</v>
      </c>
      <c r="D17" t="s">
        <v>480</v>
      </c>
      <c r="E17" t="s">
        <v>481</v>
      </c>
      <c r="F17" t="s">
        <v>482</v>
      </c>
      <c r="G17" s="2">
        <v>45448</v>
      </c>
      <c r="H17" t="s">
        <v>16</v>
      </c>
      <c r="I17" t="s">
        <v>404</v>
      </c>
    </row>
    <row r="18" spans="1:10" ht="15" customHeight="1">
      <c r="A18" t="s">
        <v>483</v>
      </c>
      <c r="B18" t="s">
        <v>484</v>
      </c>
      <c r="C18" t="s">
        <v>401</v>
      </c>
      <c r="D18" t="s">
        <v>401</v>
      </c>
      <c r="E18" t="s">
        <v>485</v>
      </c>
      <c r="F18" t="s">
        <v>486</v>
      </c>
      <c r="G18" s="2">
        <v>45458</v>
      </c>
      <c r="H18" t="s">
        <v>16</v>
      </c>
      <c r="I18" t="s">
        <v>411</v>
      </c>
    </row>
    <row r="19" spans="1:10" ht="15" customHeight="1">
      <c r="A19" t="s">
        <v>487</v>
      </c>
      <c r="B19" t="s">
        <v>488</v>
      </c>
      <c r="C19" t="s">
        <v>420</v>
      </c>
      <c r="D19" t="s">
        <v>420</v>
      </c>
      <c r="E19" t="s">
        <v>489</v>
      </c>
      <c r="F19" t="s">
        <v>490</v>
      </c>
      <c r="G19" s="2">
        <v>45461</v>
      </c>
      <c r="H19" t="s">
        <v>16</v>
      </c>
      <c r="I19" t="s">
        <v>404</v>
      </c>
    </row>
    <row r="20" spans="1:10" ht="15" customHeight="1">
      <c r="A20" t="s">
        <v>491</v>
      </c>
      <c r="B20" t="s">
        <v>492</v>
      </c>
      <c r="C20" t="s">
        <v>414</v>
      </c>
      <c r="D20" t="s">
        <v>415</v>
      </c>
      <c r="E20" t="s">
        <v>493</v>
      </c>
      <c r="F20" t="s">
        <v>494</v>
      </c>
      <c r="G20" s="2">
        <v>45465</v>
      </c>
      <c r="H20" t="s">
        <v>16</v>
      </c>
      <c r="I20" t="s">
        <v>404</v>
      </c>
    </row>
    <row r="21" spans="1:10" ht="15" customHeight="1">
      <c r="A21" t="s">
        <v>495</v>
      </c>
      <c r="B21" t="s">
        <v>496</v>
      </c>
      <c r="C21" t="s">
        <v>431</v>
      </c>
      <c r="D21" t="s">
        <v>432</v>
      </c>
      <c r="E21" t="s">
        <v>497</v>
      </c>
      <c r="F21" t="s">
        <v>498</v>
      </c>
      <c r="G21" s="2">
        <v>45474</v>
      </c>
      <c r="H21" t="s">
        <v>16</v>
      </c>
      <c r="I21" t="s">
        <v>404</v>
      </c>
    </row>
    <row r="22" spans="1:10" ht="15" customHeight="1">
      <c r="A22" t="s">
        <v>499</v>
      </c>
      <c r="B22" t="s">
        <v>500</v>
      </c>
      <c r="C22" t="s">
        <v>401</v>
      </c>
      <c r="D22" t="s">
        <v>401</v>
      </c>
      <c r="E22" t="s">
        <v>501</v>
      </c>
      <c r="F22" t="s">
        <v>502</v>
      </c>
      <c r="G22" s="2">
        <v>45476</v>
      </c>
      <c r="H22" t="s">
        <v>16</v>
      </c>
      <c r="I22" t="s">
        <v>423</v>
      </c>
    </row>
    <row r="23" spans="1:10" ht="15" customHeight="1">
      <c r="A23" t="s">
        <v>503</v>
      </c>
      <c r="B23" t="s">
        <v>504</v>
      </c>
      <c r="C23" t="s">
        <v>407</v>
      </c>
      <c r="D23" t="s">
        <v>408</v>
      </c>
      <c r="E23" t="s">
        <v>505</v>
      </c>
      <c r="F23" t="s">
        <v>506</v>
      </c>
      <c r="G23" s="2">
        <v>45481</v>
      </c>
      <c r="H23" t="s">
        <v>16</v>
      </c>
      <c r="I23" t="s">
        <v>404</v>
      </c>
    </row>
    <row r="24" spans="1:10" ht="15" customHeight="1">
      <c r="A24" s="4" t="s">
        <v>507</v>
      </c>
      <c r="B24" s="4" t="s">
        <v>400</v>
      </c>
      <c r="C24" s="4" t="s">
        <v>401</v>
      </c>
      <c r="D24" s="4" t="s">
        <v>401</v>
      </c>
      <c r="E24" s="4" t="s">
        <v>402</v>
      </c>
      <c r="F24" s="4" t="s">
        <v>403</v>
      </c>
      <c r="G24" s="7">
        <v>45483</v>
      </c>
      <c r="H24" s="4" t="s">
        <v>66</v>
      </c>
      <c r="I24" s="4" t="s">
        <v>404</v>
      </c>
      <c r="J24" s="4" t="s">
        <v>508</v>
      </c>
    </row>
    <row r="25" spans="1:10" ht="15" customHeight="1">
      <c r="A25" t="s">
        <v>509</v>
      </c>
      <c r="B25" t="s">
        <v>510</v>
      </c>
      <c r="C25" t="s">
        <v>426</v>
      </c>
      <c r="D25" t="s">
        <v>415</v>
      </c>
      <c r="E25" t="s">
        <v>511</v>
      </c>
      <c r="F25" t="s">
        <v>512</v>
      </c>
      <c r="G25" s="2">
        <v>45488</v>
      </c>
      <c r="H25" t="s">
        <v>16</v>
      </c>
      <c r="I25" t="s">
        <v>404</v>
      </c>
      <c r="J25" t="s">
        <v>513</v>
      </c>
    </row>
    <row r="26" spans="1:10" ht="15" customHeight="1">
      <c r="A26" t="s">
        <v>514</v>
      </c>
      <c r="B26" t="s">
        <v>515</v>
      </c>
      <c r="C26" t="s">
        <v>459</v>
      </c>
      <c r="D26" t="s">
        <v>460</v>
      </c>
      <c r="E26" t="s">
        <v>516</v>
      </c>
      <c r="F26" t="s">
        <v>517</v>
      </c>
      <c r="G26" s="2">
        <v>45491</v>
      </c>
      <c r="H26" t="s">
        <v>16</v>
      </c>
      <c r="I26" t="s">
        <v>518</v>
      </c>
    </row>
    <row r="27" spans="1:10" ht="15" customHeight="1">
      <c r="A27" t="s">
        <v>519</v>
      </c>
      <c r="B27" t="s">
        <v>520</v>
      </c>
      <c r="C27" t="s">
        <v>465</v>
      </c>
      <c r="D27" t="s">
        <v>415</v>
      </c>
      <c r="E27" t="s">
        <v>521</v>
      </c>
      <c r="F27" t="s">
        <v>522</v>
      </c>
      <c r="G27" s="2">
        <v>45495</v>
      </c>
      <c r="H27" t="s">
        <v>16</v>
      </c>
      <c r="I27" t="s">
        <v>404</v>
      </c>
    </row>
    <row r="28" spans="1:10" ht="15" customHeight="1">
      <c r="A28" t="s">
        <v>523</v>
      </c>
      <c r="B28" t="s">
        <v>524</v>
      </c>
      <c r="C28" t="s">
        <v>407</v>
      </c>
      <c r="D28" t="s">
        <v>408</v>
      </c>
      <c r="E28" t="s">
        <v>525</v>
      </c>
      <c r="F28" t="s">
        <v>526</v>
      </c>
      <c r="G28" s="2">
        <v>45498</v>
      </c>
      <c r="H28" t="s">
        <v>16</v>
      </c>
      <c r="I28" t="s">
        <v>439</v>
      </c>
    </row>
    <row r="29" spans="1:10" ht="15" customHeight="1">
      <c r="A29" t="s">
        <v>527</v>
      </c>
      <c r="B29" t="s">
        <v>528</v>
      </c>
      <c r="C29" t="s">
        <v>420</v>
      </c>
      <c r="D29" t="s">
        <v>408</v>
      </c>
      <c r="E29" t="s">
        <v>529</v>
      </c>
      <c r="G29" s="2">
        <v>45505</v>
      </c>
      <c r="H29" t="s">
        <v>16</v>
      </c>
      <c r="I29" t="s">
        <v>404</v>
      </c>
      <c r="J29" t="s">
        <v>530</v>
      </c>
    </row>
    <row r="30" spans="1:10" ht="15" customHeight="1">
      <c r="A30" t="s">
        <v>531</v>
      </c>
      <c r="B30" t="s">
        <v>532</v>
      </c>
      <c r="C30" t="s">
        <v>401</v>
      </c>
      <c r="D30" t="s">
        <v>401</v>
      </c>
      <c r="E30" t="s">
        <v>533</v>
      </c>
      <c r="F30" t="s">
        <v>534</v>
      </c>
      <c r="G30" s="2">
        <v>45509</v>
      </c>
      <c r="H30" t="s">
        <v>535</v>
      </c>
      <c r="I30" t="s">
        <v>536</v>
      </c>
    </row>
    <row r="31" spans="1:10" ht="15" customHeight="1">
      <c r="A31" t="s">
        <v>537</v>
      </c>
      <c r="B31" t="s">
        <v>538</v>
      </c>
      <c r="C31" t="s">
        <v>470</v>
      </c>
      <c r="D31" t="s">
        <v>415</v>
      </c>
      <c r="E31" t="s">
        <v>539</v>
      </c>
      <c r="F31" t="s">
        <v>540</v>
      </c>
      <c r="G31" s="2">
        <v>45514</v>
      </c>
      <c r="H31" t="s">
        <v>16</v>
      </c>
      <c r="I31" t="s">
        <v>404</v>
      </c>
    </row>
    <row r="32" spans="1:10" ht="15" customHeight="1">
      <c r="A32" t="s">
        <v>541</v>
      </c>
      <c r="B32" t="s">
        <v>542</v>
      </c>
      <c r="C32" t="s">
        <v>407</v>
      </c>
      <c r="D32" t="s">
        <v>408</v>
      </c>
      <c r="E32" t="s">
        <v>543</v>
      </c>
      <c r="F32" t="s">
        <v>544</v>
      </c>
      <c r="G32" s="2">
        <v>45516</v>
      </c>
      <c r="H32" t="s">
        <v>16</v>
      </c>
      <c r="I32" t="s">
        <v>404</v>
      </c>
    </row>
    <row r="33" spans="1:10" ht="15" customHeight="1">
      <c r="A33" t="s">
        <v>545</v>
      </c>
      <c r="B33" t="s">
        <v>546</v>
      </c>
      <c r="C33" t="s">
        <v>420</v>
      </c>
      <c r="D33" t="s">
        <v>408</v>
      </c>
      <c r="E33" t="s">
        <v>547</v>
      </c>
      <c r="F33" t="s">
        <v>548</v>
      </c>
      <c r="G33" s="2">
        <v>45519</v>
      </c>
      <c r="H33" t="s">
        <v>16</v>
      </c>
      <c r="I33" t="s">
        <v>423</v>
      </c>
    </row>
    <row r="34" spans="1:10" ht="15" customHeight="1">
      <c r="A34" t="s">
        <v>549</v>
      </c>
      <c r="B34" t="s">
        <v>550</v>
      </c>
      <c r="C34" t="s">
        <v>551</v>
      </c>
      <c r="D34" t="s">
        <v>408</v>
      </c>
      <c r="E34" t="s">
        <v>552</v>
      </c>
      <c r="F34" t="s">
        <v>553</v>
      </c>
      <c r="G34" s="2">
        <v>45522</v>
      </c>
      <c r="H34" t="s">
        <v>16</v>
      </c>
      <c r="I34" t="s">
        <v>404</v>
      </c>
    </row>
    <row r="35" spans="1:10" ht="15" customHeight="1">
      <c r="A35" t="s">
        <v>554</v>
      </c>
      <c r="B35" t="s">
        <v>555</v>
      </c>
      <c r="C35" t="s">
        <v>401</v>
      </c>
      <c r="D35" t="s">
        <v>401</v>
      </c>
      <c r="E35" t="s">
        <v>556</v>
      </c>
      <c r="F35" t="s">
        <v>557</v>
      </c>
      <c r="G35" s="2">
        <v>45524</v>
      </c>
      <c r="H35" t="s">
        <v>16</v>
      </c>
      <c r="I35" t="s">
        <v>558</v>
      </c>
    </row>
    <row r="36" spans="1:10" ht="15" customHeight="1">
      <c r="A36" t="s">
        <v>559</v>
      </c>
      <c r="B36" t="s">
        <v>560</v>
      </c>
      <c r="C36" t="s">
        <v>414</v>
      </c>
      <c r="D36" t="s">
        <v>415</v>
      </c>
      <c r="E36" t="s">
        <v>561</v>
      </c>
      <c r="F36" t="s">
        <v>562</v>
      </c>
      <c r="G36" s="2">
        <v>45529</v>
      </c>
      <c r="H36" t="s">
        <v>16</v>
      </c>
      <c r="I36" t="s">
        <v>404</v>
      </c>
    </row>
    <row r="37" spans="1:10" ht="15" customHeight="1">
      <c r="A37" t="s">
        <v>563</v>
      </c>
      <c r="B37" t="s">
        <v>564</v>
      </c>
      <c r="C37" t="s">
        <v>431</v>
      </c>
      <c r="D37" t="s">
        <v>432</v>
      </c>
      <c r="E37" t="s">
        <v>565</v>
      </c>
      <c r="G37" s="2">
        <v>45532</v>
      </c>
      <c r="H37" t="s">
        <v>16</v>
      </c>
      <c r="I37" t="s">
        <v>404</v>
      </c>
      <c r="J37" t="s">
        <v>566</v>
      </c>
    </row>
    <row r="38" spans="1:10" ht="15" customHeight="1">
      <c r="A38" t="s">
        <v>567</v>
      </c>
      <c r="B38" t="s">
        <v>568</v>
      </c>
      <c r="C38" t="s">
        <v>407</v>
      </c>
      <c r="D38" t="s">
        <v>408</v>
      </c>
      <c r="E38" t="s">
        <v>569</v>
      </c>
      <c r="F38" t="s">
        <v>570</v>
      </c>
      <c r="G38" s="2">
        <v>45536</v>
      </c>
      <c r="H38" t="s">
        <v>16</v>
      </c>
      <c r="I38" t="s">
        <v>411</v>
      </c>
    </row>
    <row r="39" spans="1:10" ht="15" customHeight="1">
      <c r="A39" t="s">
        <v>571</v>
      </c>
      <c r="B39" t="s">
        <v>572</v>
      </c>
      <c r="C39" t="s">
        <v>401</v>
      </c>
      <c r="D39" t="s">
        <v>401</v>
      </c>
      <c r="E39" t="s">
        <v>573</v>
      </c>
      <c r="F39" t="s">
        <v>574</v>
      </c>
      <c r="G39" s="2">
        <v>45538</v>
      </c>
      <c r="H39" t="s">
        <v>16</v>
      </c>
      <c r="I39" t="s">
        <v>404</v>
      </c>
    </row>
    <row r="40" spans="1:10" ht="15" customHeight="1">
      <c r="A40" t="s">
        <v>575</v>
      </c>
      <c r="B40" t="s">
        <v>576</v>
      </c>
      <c r="C40" t="s">
        <v>465</v>
      </c>
      <c r="D40" t="s">
        <v>415</v>
      </c>
      <c r="E40" t="s">
        <v>577</v>
      </c>
      <c r="F40" t="s">
        <v>578</v>
      </c>
      <c r="G40" s="2">
        <v>45540</v>
      </c>
      <c r="H40" t="s">
        <v>16</v>
      </c>
      <c r="I40" t="s">
        <v>439</v>
      </c>
    </row>
    <row r="41" spans="1:10" ht="15" customHeight="1">
      <c r="A41" t="s">
        <v>579</v>
      </c>
      <c r="B41" t="s">
        <v>580</v>
      </c>
      <c r="C41" t="s">
        <v>426</v>
      </c>
      <c r="D41" t="s">
        <v>415</v>
      </c>
      <c r="E41" t="s">
        <v>581</v>
      </c>
      <c r="F41" t="s">
        <v>582</v>
      </c>
      <c r="G41" s="2">
        <v>45543</v>
      </c>
      <c r="H41" t="s">
        <v>16</v>
      </c>
      <c r="I41" t="s">
        <v>404</v>
      </c>
    </row>
    <row r="42" spans="1:10" ht="15" customHeight="1">
      <c r="A42" t="s">
        <v>583</v>
      </c>
      <c r="B42" t="s">
        <v>584</v>
      </c>
      <c r="C42" t="s">
        <v>420</v>
      </c>
      <c r="D42" t="s">
        <v>408</v>
      </c>
      <c r="E42" t="s">
        <v>585</v>
      </c>
      <c r="F42" t="s">
        <v>586</v>
      </c>
      <c r="G42" s="2">
        <v>45545</v>
      </c>
      <c r="H42" t="s">
        <v>16</v>
      </c>
      <c r="I42" t="s">
        <v>404</v>
      </c>
    </row>
    <row r="43" spans="1:10" ht="15" customHeight="1">
      <c r="A43" t="s">
        <v>587</v>
      </c>
      <c r="B43" t="s">
        <v>588</v>
      </c>
      <c r="C43" t="s">
        <v>407</v>
      </c>
      <c r="D43" t="s">
        <v>408</v>
      </c>
      <c r="E43" t="s">
        <v>589</v>
      </c>
      <c r="F43" t="s">
        <v>590</v>
      </c>
      <c r="G43" s="2">
        <v>45547</v>
      </c>
      <c r="H43" t="s">
        <v>16</v>
      </c>
      <c r="I43" t="s">
        <v>423</v>
      </c>
    </row>
    <row r="44" spans="1:10" ht="15" customHeight="1">
      <c r="A44" t="s">
        <v>591</v>
      </c>
      <c r="B44" t="s">
        <v>592</v>
      </c>
      <c r="C44" t="s">
        <v>401</v>
      </c>
      <c r="D44" t="s">
        <v>401</v>
      </c>
      <c r="E44" t="s">
        <v>471</v>
      </c>
      <c r="F44" t="s">
        <v>593</v>
      </c>
      <c r="G44" s="2">
        <v>45550</v>
      </c>
      <c r="H44" t="s">
        <v>16</v>
      </c>
      <c r="I44" t="s">
        <v>452</v>
      </c>
    </row>
    <row r="45" spans="1:10" ht="15" customHeight="1">
      <c r="A45" t="s">
        <v>594</v>
      </c>
      <c r="B45" t="s">
        <v>595</v>
      </c>
      <c r="C45" t="s">
        <v>414</v>
      </c>
      <c r="D45" t="s">
        <v>415</v>
      </c>
      <c r="E45" t="s">
        <v>596</v>
      </c>
      <c r="F45" t="s">
        <v>597</v>
      </c>
      <c r="G45" s="2">
        <v>45553</v>
      </c>
      <c r="H45" t="s">
        <v>16</v>
      </c>
      <c r="I45" t="s">
        <v>404</v>
      </c>
    </row>
    <row r="46" spans="1:10" ht="15" customHeight="1">
      <c r="A46" t="s">
        <v>598</v>
      </c>
      <c r="B46" t="s">
        <v>599</v>
      </c>
      <c r="C46" t="s">
        <v>470</v>
      </c>
      <c r="D46" t="s">
        <v>415</v>
      </c>
      <c r="E46" t="s">
        <v>600</v>
      </c>
      <c r="F46" t="s">
        <v>601</v>
      </c>
      <c r="G46" s="2">
        <v>45555</v>
      </c>
      <c r="H46" t="s">
        <v>16</v>
      </c>
      <c r="I46" t="s">
        <v>404</v>
      </c>
    </row>
    <row r="47" spans="1:10" ht="15" customHeight="1">
      <c r="A47" t="s">
        <v>602</v>
      </c>
      <c r="B47" t="s">
        <v>603</v>
      </c>
      <c r="C47" t="s">
        <v>459</v>
      </c>
      <c r="D47" t="s">
        <v>460</v>
      </c>
      <c r="E47" t="s">
        <v>455</v>
      </c>
      <c r="F47" t="s">
        <v>604</v>
      </c>
      <c r="G47" s="2">
        <v>45557</v>
      </c>
      <c r="H47" t="s">
        <v>535</v>
      </c>
      <c r="I47" t="s">
        <v>536</v>
      </c>
    </row>
    <row r="48" spans="1:10" ht="15" customHeight="1">
      <c r="A48" t="s">
        <v>605</v>
      </c>
      <c r="B48" t="s">
        <v>606</v>
      </c>
      <c r="C48" t="s">
        <v>401</v>
      </c>
      <c r="D48" t="s">
        <v>401</v>
      </c>
      <c r="E48" t="s">
        <v>505</v>
      </c>
      <c r="F48" t="s">
        <v>607</v>
      </c>
      <c r="G48" s="2">
        <v>45560</v>
      </c>
      <c r="H48" t="s">
        <v>16</v>
      </c>
      <c r="I48" t="s">
        <v>404</v>
      </c>
    </row>
    <row r="49" spans="1:10" ht="15" customHeight="1">
      <c r="A49" t="s">
        <v>608</v>
      </c>
      <c r="B49" t="s">
        <v>609</v>
      </c>
      <c r="C49" t="s">
        <v>479</v>
      </c>
      <c r="D49" t="s">
        <v>480</v>
      </c>
      <c r="E49" t="s">
        <v>610</v>
      </c>
      <c r="F49" t="s">
        <v>611</v>
      </c>
      <c r="G49" s="2">
        <v>45563</v>
      </c>
      <c r="H49" t="s">
        <v>16</v>
      </c>
      <c r="I49" t="s">
        <v>518</v>
      </c>
    </row>
    <row r="50" spans="1:10" ht="15" customHeight="1">
      <c r="A50" t="s">
        <v>612</v>
      </c>
      <c r="B50" t="s">
        <v>613</v>
      </c>
      <c r="C50" t="s">
        <v>420</v>
      </c>
      <c r="D50" t="s">
        <v>408</v>
      </c>
      <c r="E50" t="s">
        <v>614</v>
      </c>
      <c r="G50" s="2">
        <v>45565</v>
      </c>
      <c r="H50" t="s">
        <v>16</v>
      </c>
      <c r="I50" t="s">
        <v>404</v>
      </c>
      <c r="J50" t="s">
        <v>530</v>
      </c>
    </row>
    <row r="51" spans="1:10" ht="15" customHeight="1">
      <c r="A51" t="s">
        <v>615</v>
      </c>
      <c r="B51" t="s">
        <v>616</v>
      </c>
      <c r="C51" t="s">
        <v>407</v>
      </c>
      <c r="D51" t="s">
        <v>408</v>
      </c>
      <c r="E51" t="s">
        <v>617</v>
      </c>
      <c r="F51" t="s">
        <v>618</v>
      </c>
      <c r="G51" s="2">
        <v>45566</v>
      </c>
      <c r="H51" t="s">
        <v>16</v>
      </c>
      <c r="I51" t="s">
        <v>404</v>
      </c>
    </row>
    <row r="52" spans="1:10" ht="15" customHeight="1">
      <c r="A52" t="s">
        <v>619</v>
      </c>
      <c r="B52" t="s">
        <v>620</v>
      </c>
      <c r="C52" t="s">
        <v>401</v>
      </c>
      <c r="D52" t="s">
        <v>401</v>
      </c>
      <c r="E52" t="s">
        <v>621</v>
      </c>
      <c r="F52" t="s">
        <v>622</v>
      </c>
      <c r="G52" s="2">
        <v>45568</v>
      </c>
      <c r="H52" t="s">
        <v>16</v>
      </c>
      <c r="I52" t="s">
        <v>404</v>
      </c>
    </row>
    <row r="53" spans="1:10" ht="15" customHeight="1">
      <c r="A53" t="s">
        <v>623</v>
      </c>
      <c r="B53" t="s">
        <v>624</v>
      </c>
      <c r="C53" t="s">
        <v>407</v>
      </c>
      <c r="D53" t="s">
        <v>408</v>
      </c>
      <c r="E53" t="s">
        <v>625</v>
      </c>
      <c r="F53" t="s">
        <v>626</v>
      </c>
      <c r="G53" s="2">
        <v>45569</v>
      </c>
      <c r="H53" t="s">
        <v>16</v>
      </c>
      <c r="I53" t="s">
        <v>404</v>
      </c>
    </row>
    <row r="54" spans="1:10" ht="15" customHeight="1">
      <c r="A54" t="s">
        <v>627</v>
      </c>
      <c r="B54" t="s">
        <v>628</v>
      </c>
      <c r="C54" t="s">
        <v>420</v>
      </c>
      <c r="D54" t="s">
        <v>408</v>
      </c>
      <c r="E54" t="s">
        <v>629</v>
      </c>
      <c r="F54" t="s">
        <v>630</v>
      </c>
      <c r="G54" s="2">
        <v>45570</v>
      </c>
      <c r="H54" t="s">
        <v>16</v>
      </c>
      <c r="I54" t="s">
        <v>411</v>
      </c>
    </row>
    <row r="55" spans="1:10" ht="15" customHeight="1">
      <c r="A55" t="s">
        <v>631</v>
      </c>
      <c r="B55" t="s">
        <v>632</v>
      </c>
      <c r="C55" t="s">
        <v>414</v>
      </c>
      <c r="D55" t="s">
        <v>415</v>
      </c>
      <c r="E55" t="s">
        <v>633</v>
      </c>
      <c r="F55" t="s">
        <v>634</v>
      </c>
      <c r="G55" s="2">
        <v>45571</v>
      </c>
      <c r="H55" t="s">
        <v>16</v>
      </c>
      <c r="I55" t="s">
        <v>518</v>
      </c>
    </row>
    <row r="56" spans="1:10" ht="15" customHeight="1">
      <c r="A56" t="s">
        <v>635</v>
      </c>
      <c r="B56" t="s">
        <v>636</v>
      </c>
      <c r="C56" t="s">
        <v>401</v>
      </c>
      <c r="D56" t="s">
        <v>401</v>
      </c>
      <c r="E56" t="s">
        <v>442</v>
      </c>
      <c r="G56" s="2">
        <v>45572</v>
      </c>
      <c r="H56" t="s">
        <v>16</v>
      </c>
      <c r="I56" t="s">
        <v>404</v>
      </c>
      <c r="J56" t="s">
        <v>566</v>
      </c>
    </row>
    <row r="57" spans="1:10" ht="15" customHeight="1">
      <c r="A57" t="s">
        <v>637</v>
      </c>
      <c r="B57" t="s">
        <v>638</v>
      </c>
      <c r="C57" t="s">
        <v>479</v>
      </c>
      <c r="D57" t="s">
        <v>480</v>
      </c>
      <c r="E57" t="s">
        <v>446</v>
      </c>
      <c r="F57" t="s">
        <v>639</v>
      </c>
      <c r="G57" s="2">
        <v>45573</v>
      </c>
      <c r="H57" t="s">
        <v>16</v>
      </c>
      <c r="I57" t="s">
        <v>423</v>
      </c>
    </row>
    <row r="58" spans="1:10" ht="15" customHeight="1">
      <c r="A58" t="s">
        <v>640</v>
      </c>
      <c r="B58" t="s">
        <v>641</v>
      </c>
      <c r="C58" t="s">
        <v>431</v>
      </c>
      <c r="D58" t="s">
        <v>432</v>
      </c>
      <c r="E58" t="s">
        <v>642</v>
      </c>
      <c r="F58" t="s">
        <v>643</v>
      </c>
      <c r="G58" s="2">
        <v>45574</v>
      </c>
      <c r="H58" t="s">
        <v>16</v>
      </c>
      <c r="I58" t="s">
        <v>536</v>
      </c>
    </row>
    <row r="59" spans="1:10" ht="15" customHeight="1">
      <c r="A59" t="s">
        <v>644</v>
      </c>
      <c r="B59" t="s">
        <v>645</v>
      </c>
      <c r="C59" t="s">
        <v>407</v>
      </c>
      <c r="D59" t="s">
        <v>408</v>
      </c>
      <c r="E59" t="s">
        <v>485</v>
      </c>
      <c r="F59" t="s">
        <v>646</v>
      </c>
      <c r="G59" s="2">
        <v>45575</v>
      </c>
      <c r="H59" t="s">
        <v>16</v>
      </c>
      <c r="I59" t="s">
        <v>404</v>
      </c>
    </row>
    <row r="60" spans="1:10" ht="15" customHeight="1">
      <c r="A60" t="s">
        <v>647</v>
      </c>
      <c r="B60" t="s">
        <v>648</v>
      </c>
      <c r="C60" t="s">
        <v>401</v>
      </c>
      <c r="D60" t="s">
        <v>401</v>
      </c>
      <c r="E60" t="s">
        <v>433</v>
      </c>
      <c r="F60" t="s">
        <v>649</v>
      </c>
      <c r="G60" s="2">
        <v>45576</v>
      </c>
      <c r="H60" t="s">
        <v>16</v>
      </c>
      <c r="I60" t="s">
        <v>452</v>
      </c>
    </row>
    <row r="61" spans="1:10" ht="15" customHeight="1">
      <c r="A61" t="s">
        <v>650</v>
      </c>
      <c r="B61" t="s">
        <v>651</v>
      </c>
      <c r="C61" t="s">
        <v>470</v>
      </c>
      <c r="D61" t="s">
        <v>415</v>
      </c>
      <c r="E61" t="s">
        <v>652</v>
      </c>
      <c r="F61" t="s">
        <v>653</v>
      </c>
      <c r="G61" s="2">
        <v>45577</v>
      </c>
      <c r="H61" t="s">
        <v>16</v>
      </c>
      <c r="I61" t="s">
        <v>404</v>
      </c>
      <c r="J61" t="s">
        <v>513</v>
      </c>
    </row>
    <row r="62" spans="1:10" ht="15" customHeight="1">
      <c r="A62" t="s">
        <v>654</v>
      </c>
      <c r="B62" t="s">
        <v>655</v>
      </c>
      <c r="C62" t="s">
        <v>465</v>
      </c>
      <c r="D62" t="s">
        <v>415</v>
      </c>
      <c r="E62" t="s">
        <v>552</v>
      </c>
      <c r="F62" t="s">
        <v>656</v>
      </c>
      <c r="G62" s="2">
        <v>45578</v>
      </c>
      <c r="H62" t="s">
        <v>16</v>
      </c>
      <c r="I62" t="s">
        <v>404</v>
      </c>
    </row>
    <row r="63" spans="1:10" ht="15" customHeight="1">
      <c r="A63" t="s">
        <v>657</v>
      </c>
      <c r="B63" t="s">
        <v>658</v>
      </c>
      <c r="C63" t="s">
        <v>420</v>
      </c>
      <c r="D63" t="s">
        <v>420</v>
      </c>
      <c r="E63" t="s">
        <v>659</v>
      </c>
      <c r="F63" t="s">
        <v>660</v>
      </c>
      <c r="G63" s="2">
        <v>45579</v>
      </c>
      <c r="H63" t="s">
        <v>16</v>
      </c>
      <c r="I63" t="s">
        <v>411</v>
      </c>
    </row>
    <row r="64" spans="1:10" ht="15" customHeight="1">
      <c r="A64" t="s">
        <v>661</v>
      </c>
      <c r="B64" t="s">
        <v>662</v>
      </c>
      <c r="C64" t="s">
        <v>401</v>
      </c>
      <c r="D64" t="s">
        <v>401</v>
      </c>
      <c r="E64" t="s">
        <v>497</v>
      </c>
      <c r="F64" t="s">
        <v>663</v>
      </c>
      <c r="G64" s="2">
        <v>45580</v>
      </c>
      <c r="H64" t="s">
        <v>16</v>
      </c>
      <c r="I64" t="s">
        <v>404</v>
      </c>
    </row>
    <row r="65" spans="1:10" ht="15" customHeight="1">
      <c r="A65" t="s">
        <v>664</v>
      </c>
      <c r="B65" t="s">
        <v>665</v>
      </c>
      <c r="C65" t="s">
        <v>459</v>
      </c>
      <c r="D65" t="s">
        <v>460</v>
      </c>
      <c r="E65" t="s">
        <v>666</v>
      </c>
      <c r="F65" t="s">
        <v>667</v>
      </c>
      <c r="G65" s="2">
        <v>45581</v>
      </c>
      <c r="H65" t="s">
        <v>16</v>
      </c>
      <c r="I65" t="s">
        <v>558</v>
      </c>
    </row>
    <row r="66" spans="1:10" ht="15" customHeight="1">
      <c r="A66" t="s">
        <v>668</v>
      </c>
      <c r="B66" t="s">
        <v>669</v>
      </c>
      <c r="C66" t="s">
        <v>407</v>
      </c>
      <c r="D66" t="s">
        <v>408</v>
      </c>
      <c r="E66" t="s">
        <v>670</v>
      </c>
      <c r="F66" t="s">
        <v>671</v>
      </c>
      <c r="G66" s="2">
        <v>45582</v>
      </c>
      <c r="H66" t="s">
        <v>16</v>
      </c>
      <c r="I66" t="s">
        <v>404</v>
      </c>
    </row>
    <row r="67" spans="1:10" ht="15" customHeight="1">
      <c r="A67" t="s">
        <v>672</v>
      </c>
      <c r="B67" t="s">
        <v>673</v>
      </c>
      <c r="C67" t="s">
        <v>426</v>
      </c>
      <c r="D67" t="s">
        <v>415</v>
      </c>
      <c r="E67" t="s">
        <v>493</v>
      </c>
      <c r="F67" t="s">
        <v>674</v>
      </c>
      <c r="G67" s="2">
        <v>45583</v>
      </c>
      <c r="H67" t="s">
        <v>16</v>
      </c>
      <c r="I67" t="s">
        <v>518</v>
      </c>
    </row>
    <row r="68" spans="1:10" ht="15" customHeight="1">
      <c r="A68" t="s">
        <v>675</v>
      </c>
      <c r="B68" t="s">
        <v>676</v>
      </c>
      <c r="C68" t="s">
        <v>401</v>
      </c>
      <c r="D68" t="s">
        <v>401</v>
      </c>
      <c r="E68" t="s">
        <v>481</v>
      </c>
      <c r="F68" t="s">
        <v>677</v>
      </c>
      <c r="G68" s="2">
        <v>45584</v>
      </c>
      <c r="H68" t="s">
        <v>16</v>
      </c>
      <c r="I68" t="s">
        <v>423</v>
      </c>
    </row>
    <row r="69" spans="1:10" ht="15" customHeight="1">
      <c r="A69" s="4" t="s">
        <v>678</v>
      </c>
      <c r="B69" s="4" t="s">
        <v>676</v>
      </c>
      <c r="C69" s="4" t="s">
        <v>401</v>
      </c>
      <c r="D69" s="4" t="s">
        <v>401</v>
      </c>
      <c r="E69" s="4" t="s">
        <v>481</v>
      </c>
      <c r="F69" s="4" t="s">
        <v>677</v>
      </c>
      <c r="G69" s="7">
        <v>45585</v>
      </c>
      <c r="H69" s="4" t="s">
        <v>66</v>
      </c>
      <c r="I69" s="4" t="s">
        <v>404</v>
      </c>
      <c r="J69" s="4" t="s">
        <v>679</v>
      </c>
    </row>
    <row r="70" spans="1:10" ht="15" customHeight="1">
      <c r="A70" t="s">
        <v>680</v>
      </c>
      <c r="B70" t="s">
        <v>681</v>
      </c>
      <c r="C70" t="s">
        <v>414</v>
      </c>
      <c r="D70" t="s">
        <v>415</v>
      </c>
      <c r="E70" t="s">
        <v>682</v>
      </c>
      <c r="G70" s="2">
        <v>45586</v>
      </c>
      <c r="H70" t="s">
        <v>16</v>
      </c>
      <c r="I70" t="s">
        <v>404</v>
      </c>
      <c r="J70" t="s">
        <v>530</v>
      </c>
    </row>
    <row r="71" spans="1:10" ht="15" customHeight="1">
      <c r="A71" t="s">
        <v>683</v>
      </c>
      <c r="B71" t="s">
        <v>684</v>
      </c>
      <c r="C71" t="s">
        <v>431</v>
      </c>
      <c r="D71" t="s">
        <v>432</v>
      </c>
      <c r="E71" t="s">
        <v>543</v>
      </c>
      <c r="F71" t="s">
        <v>685</v>
      </c>
      <c r="G71" s="2">
        <v>45587</v>
      </c>
      <c r="H71" t="s">
        <v>535</v>
      </c>
      <c r="I71" t="s">
        <v>536</v>
      </c>
    </row>
    <row r="72" spans="1:10" ht="15" customHeight="1">
      <c r="A72" t="s">
        <v>686</v>
      </c>
      <c r="B72" t="s">
        <v>687</v>
      </c>
      <c r="C72" t="s">
        <v>551</v>
      </c>
      <c r="D72" t="s">
        <v>408</v>
      </c>
      <c r="E72" t="s">
        <v>688</v>
      </c>
      <c r="F72" t="s">
        <v>689</v>
      </c>
      <c r="G72" s="2">
        <v>45588</v>
      </c>
      <c r="H72" t="s">
        <v>16</v>
      </c>
      <c r="I72" t="s">
        <v>404</v>
      </c>
    </row>
    <row r="73" spans="1:10" ht="15" customHeight="1">
      <c r="A73" t="s">
        <v>690</v>
      </c>
      <c r="B73" t="s">
        <v>691</v>
      </c>
      <c r="C73" t="s">
        <v>401</v>
      </c>
      <c r="D73" t="s">
        <v>401</v>
      </c>
      <c r="E73" t="s">
        <v>501</v>
      </c>
      <c r="F73" t="s">
        <v>692</v>
      </c>
      <c r="G73" s="2">
        <v>45589</v>
      </c>
      <c r="H73" t="s">
        <v>16</v>
      </c>
      <c r="I73" t="s">
        <v>404</v>
      </c>
    </row>
    <row r="74" spans="1:10" ht="15" customHeight="1">
      <c r="A74" t="s">
        <v>693</v>
      </c>
      <c r="B74" t="s">
        <v>694</v>
      </c>
      <c r="C74" t="s">
        <v>420</v>
      </c>
      <c r="D74" t="s">
        <v>408</v>
      </c>
      <c r="E74" t="s">
        <v>695</v>
      </c>
      <c r="F74" t="s">
        <v>696</v>
      </c>
      <c r="G74" s="2">
        <v>45590</v>
      </c>
      <c r="H74" t="s">
        <v>16</v>
      </c>
      <c r="I74" t="s">
        <v>411</v>
      </c>
    </row>
    <row r="75" spans="1:10" ht="15" customHeight="1">
      <c r="A75" t="s">
        <v>697</v>
      </c>
      <c r="B75" t="s">
        <v>698</v>
      </c>
      <c r="C75" t="s">
        <v>407</v>
      </c>
      <c r="D75" t="s">
        <v>408</v>
      </c>
      <c r="E75" t="s">
        <v>699</v>
      </c>
      <c r="F75" t="s">
        <v>700</v>
      </c>
      <c r="G75" s="2">
        <v>45591</v>
      </c>
      <c r="H75" t="s">
        <v>16</v>
      </c>
      <c r="I75" t="s">
        <v>404</v>
      </c>
    </row>
    <row r="76" spans="1:10" ht="15" customHeight="1">
      <c r="A76" t="s">
        <v>701</v>
      </c>
      <c r="B76" t="s">
        <v>702</v>
      </c>
      <c r="C76" t="s">
        <v>414</v>
      </c>
      <c r="D76" t="s">
        <v>415</v>
      </c>
      <c r="E76" t="s">
        <v>703</v>
      </c>
      <c r="F76" t="s">
        <v>704</v>
      </c>
      <c r="G76" s="2">
        <v>45592</v>
      </c>
      <c r="H76" t="s">
        <v>16</v>
      </c>
      <c r="I76" t="s">
        <v>439</v>
      </c>
    </row>
    <row r="77" spans="1:10" ht="15" customHeight="1">
      <c r="A77" t="s">
        <v>705</v>
      </c>
      <c r="B77" t="s">
        <v>706</v>
      </c>
      <c r="C77" t="s">
        <v>401</v>
      </c>
      <c r="D77" t="s">
        <v>401</v>
      </c>
      <c r="E77" t="s">
        <v>707</v>
      </c>
      <c r="F77" t="s">
        <v>708</v>
      </c>
      <c r="G77" s="2">
        <v>45593</v>
      </c>
      <c r="H77" t="s">
        <v>16</v>
      </c>
      <c r="I77" t="s">
        <v>404</v>
      </c>
    </row>
    <row r="78" spans="1:10" ht="15" customHeight="1">
      <c r="A78" s="4" t="s">
        <v>709</v>
      </c>
      <c r="B78" s="4" t="s">
        <v>710</v>
      </c>
      <c r="C78" s="4" t="s">
        <v>470</v>
      </c>
      <c r="D78" s="4" t="s">
        <v>415</v>
      </c>
      <c r="E78" s="4" t="s">
        <v>711</v>
      </c>
      <c r="F78" s="4" t="s">
        <v>712</v>
      </c>
      <c r="G78" s="7">
        <v>45594</v>
      </c>
      <c r="H78" s="4" t="s">
        <v>66</v>
      </c>
      <c r="I78" s="4" t="s">
        <v>404</v>
      </c>
      <c r="J78" s="4" t="s">
        <v>713</v>
      </c>
    </row>
    <row r="79" spans="1:10" ht="15" customHeight="1">
      <c r="A79" t="s">
        <v>714</v>
      </c>
      <c r="B79" t="s">
        <v>715</v>
      </c>
      <c r="C79" t="s">
        <v>407</v>
      </c>
      <c r="D79" t="s">
        <v>408</v>
      </c>
      <c r="E79" t="s">
        <v>547</v>
      </c>
      <c r="F79" t="s">
        <v>716</v>
      </c>
      <c r="G79" s="2">
        <v>45595</v>
      </c>
      <c r="H79" t="s">
        <v>16</v>
      </c>
      <c r="I79" t="s">
        <v>404</v>
      </c>
    </row>
    <row r="80" spans="1:10" ht="15" customHeight="1">
      <c r="A80" t="s">
        <v>717</v>
      </c>
      <c r="B80" t="s">
        <v>718</v>
      </c>
      <c r="C80" t="s">
        <v>479</v>
      </c>
      <c r="D80" t="s">
        <v>480</v>
      </c>
      <c r="E80" t="s">
        <v>719</v>
      </c>
      <c r="F80" t="s">
        <v>720</v>
      </c>
      <c r="G80" s="2">
        <v>45596</v>
      </c>
      <c r="H80" t="s">
        <v>16</v>
      </c>
      <c r="I80" t="s">
        <v>423</v>
      </c>
    </row>
    <row r="81" spans="1:10" ht="15" customHeight="1">
      <c r="A81" s="4" t="s">
        <v>721</v>
      </c>
      <c r="B81" s="4" t="s">
        <v>400</v>
      </c>
      <c r="C81" s="4" t="s">
        <v>401</v>
      </c>
      <c r="D81" s="4" t="s">
        <v>401</v>
      </c>
      <c r="E81" s="4" t="s">
        <v>402</v>
      </c>
      <c r="F81" s="4" t="s">
        <v>403</v>
      </c>
      <c r="G81" s="7">
        <v>45597</v>
      </c>
      <c r="H81" s="4" t="s">
        <v>66</v>
      </c>
      <c r="I81" s="4" t="s">
        <v>404</v>
      </c>
      <c r="J81" s="4" t="s">
        <v>508</v>
      </c>
    </row>
    <row r="82" spans="1:10" ht="15" customHeight="1">
      <c r="A82" t="s">
        <v>722</v>
      </c>
      <c r="B82" t="s">
        <v>723</v>
      </c>
      <c r="C82" t="s">
        <v>426</v>
      </c>
      <c r="D82" t="s">
        <v>415</v>
      </c>
      <c r="E82" t="s">
        <v>529</v>
      </c>
      <c r="F82" t="s">
        <v>724</v>
      </c>
      <c r="G82" s="2">
        <v>45598</v>
      </c>
      <c r="H82" t="s">
        <v>16</v>
      </c>
      <c r="I82" t="s">
        <v>404</v>
      </c>
    </row>
    <row r="83" spans="1:10" ht="15" customHeight="1">
      <c r="A83" t="s">
        <v>725</v>
      </c>
      <c r="B83" t="s">
        <v>726</v>
      </c>
      <c r="C83" t="s">
        <v>407</v>
      </c>
      <c r="D83" t="s">
        <v>408</v>
      </c>
      <c r="E83" t="s">
        <v>573</v>
      </c>
      <c r="F83" t="s">
        <v>727</v>
      </c>
      <c r="G83" s="2">
        <v>45599</v>
      </c>
      <c r="H83" t="s">
        <v>16</v>
      </c>
      <c r="I83" t="s">
        <v>452</v>
      </c>
    </row>
    <row r="84" spans="1:10" ht="15" customHeight="1">
      <c r="A84" t="s">
        <v>728</v>
      </c>
      <c r="B84" t="s">
        <v>729</v>
      </c>
      <c r="C84" t="s">
        <v>420</v>
      </c>
      <c r="D84" t="s">
        <v>408</v>
      </c>
      <c r="E84" t="s">
        <v>730</v>
      </c>
      <c r="G84" s="2">
        <v>45600</v>
      </c>
      <c r="H84" t="s">
        <v>16</v>
      </c>
      <c r="I84" t="s">
        <v>404</v>
      </c>
      <c r="J84" t="s">
        <v>530</v>
      </c>
    </row>
    <row r="85" spans="1:10" ht="15" customHeight="1">
      <c r="A85" t="s">
        <v>731</v>
      </c>
      <c r="B85" t="s">
        <v>732</v>
      </c>
      <c r="C85" t="s">
        <v>401</v>
      </c>
      <c r="D85" t="s">
        <v>401</v>
      </c>
      <c r="E85" t="s">
        <v>733</v>
      </c>
      <c r="F85" t="s">
        <v>734</v>
      </c>
      <c r="G85" s="2">
        <v>45601</v>
      </c>
      <c r="H85" t="s">
        <v>16</v>
      </c>
      <c r="I85" t="s">
        <v>518</v>
      </c>
    </row>
    <row r="86" spans="1:10" ht="15" customHeight="1">
      <c r="A86" t="s">
        <v>735</v>
      </c>
      <c r="B86" t="s">
        <v>736</v>
      </c>
      <c r="C86" t="s">
        <v>431</v>
      </c>
      <c r="D86" t="s">
        <v>432</v>
      </c>
      <c r="E86" t="s">
        <v>737</v>
      </c>
      <c r="F86" t="s">
        <v>738</v>
      </c>
      <c r="G86" s="2">
        <v>45602</v>
      </c>
      <c r="H86" t="s">
        <v>16</v>
      </c>
      <c r="I86" t="s">
        <v>536</v>
      </c>
    </row>
    <row r="87" spans="1:10" ht="15" customHeight="1">
      <c r="A87" t="s">
        <v>739</v>
      </c>
      <c r="B87" t="s">
        <v>740</v>
      </c>
      <c r="C87" t="s">
        <v>414</v>
      </c>
      <c r="D87" t="s">
        <v>415</v>
      </c>
      <c r="E87" t="s">
        <v>581</v>
      </c>
      <c r="F87" t="s">
        <v>741</v>
      </c>
      <c r="G87" s="2">
        <v>45603</v>
      </c>
      <c r="H87" t="s">
        <v>16</v>
      </c>
      <c r="I87" t="s">
        <v>404</v>
      </c>
    </row>
    <row r="88" spans="1:10" ht="15" customHeight="1">
      <c r="A88" t="s">
        <v>742</v>
      </c>
      <c r="B88" t="s">
        <v>743</v>
      </c>
      <c r="C88" t="s">
        <v>407</v>
      </c>
      <c r="D88" t="s">
        <v>408</v>
      </c>
      <c r="E88" t="s">
        <v>489</v>
      </c>
      <c r="F88" t="s">
        <v>744</v>
      </c>
      <c r="G88" s="2">
        <v>45604</v>
      </c>
      <c r="H88" t="s">
        <v>16</v>
      </c>
      <c r="I88" t="s">
        <v>423</v>
      </c>
    </row>
    <row r="89" spans="1:10" ht="15" customHeight="1">
      <c r="A89" t="s">
        <v>745</v>
      </c>
      <c r="B89" t="s">
        <v>746</v>
      </c>
      <c r="C89" t="s">
        <v>401</v>
      </c>
      <c r="D89" t="s">
        <v>401</v>
      </c>
      <c r="E89" t="s">
        <v>747</v>
      </c>
      <c r="F89" t="s">
        <v>748</v>
      </c>
      <c r="G89" s="2">
        <v>45605</v>
      </c>
      <c r="H89" t="s">
        <v>16</v>
      </c>
      <c r="I89" t="s">
        <v>404</v>
      </c>
    </row>
    <row r="90" spans="1:10" ht="15" customHeight="1">
      <c r="A90" t="s">
        <v>749</v>
      </c>
      <c r="B90" t="s">
        <v>750</v>
      </c>
      <c r="C90" t="s">
        <v>420</v>
      </c>
      <c r="D90" t="s">
        <v>408</v>
      </c>
      <c r="E90" t="s">
        <v>751</v>
      </c>
      <c r="F90" t="s">
        <v>752</v>
      </c>
      <c r="G90" s="2">
        <v>45606</v>
      </c>
      <c r="H90" t="s">
        <v>16</v>
      </c>
      <c r="I90" t="s">
        <v>404</v>
      </c>
    </row>
    <row r="91" spans="1:10" ht="15" customHeight="1">
      <c r="A91" t="s">
        <v>753</v>
      </c>
      <c r="B91" t="s">
        <v>754</v>
      </c>
      <c r="C91" t="s">
        <v>465</v>
      </c>
      <c r="D91" t="s">
        <v>415</v>
      </c>
      <c r="E91" t="s">
        <v>755</v>
      </c>
      <c r="F91" t="s">
        <v>756</v>
      </c>
      <c r="G91" s="2">
        <v>45607</v>
      </c>
      <c r="H91" t="s">
        <v>16</v>
      </c>
      <c r="I91" t="s">
        <v>404</v>
      </c>
      <c r="J91" t="s">
        <v>513</v>
      </c>
    </row>
    <row r="92" spans="1:10" ht="15" customHeight="1">
      <c r="A92" t="s">
        <v>757</v>
      </c>
      <c r="B92" t="s">
        <v>758</v>
      </c>
      <c r="C92" t="s">
        <v>401</v>
      </c>
      <c r="D92" t="s">
        <v>401</v>
      </c>
      <c r="E92" t="s">
        <v>759</v>
      </c>
      <c r="F92" t="s">
        <v>724</v>
      </c>
      <c r="G92" s="2">
        <v>45608</v>
      </c>
      <c r="H92" t="s">
        <v>16</v>
      </c>
      <c r="I92" t="s">
        <v>404</v>
      </c>
    </row>
    <row r="93" spans="1:10" ht="15" customHeight="1">
      <c r="A93" s="4" t="s">
        <v>760</v>
      </c>
      <c r="B93" s="4" t="s">
        <v>758</v>
      </c>
      <c r="C93" s="4" t="s">
        <v>401</v>
      </c>
      <c r="D93" s="4" t="s">
        <v>401</v>
      </c>
      <c r="E93" s="4" t="s">
        <v>759</v>
      </c>
      <c r="F93" s="4" t="s">
        <v>724</v>
      </c>
      <c r="G93" s="7">
        <v>45609</v>
      </c>
      <c r="H93" s="4" t="s">
        <v>66</v>
      </c>
      <c r="I93" s="4" t="s">
        <v>404</v>
      </c>
      <c r="J93" s="4" t="s">
        <v>761</v>
      </c>
    </row>
    <row r="94" spans="1:10" ht="15" customHeight="1">
      <c r="A94" t="s">
        <v>762</v>
      </c>
      <c r="B94" t="s">
        <v>763</v>
      </c>
      <c r="C94" t="s">
        <v>420</v>
      </c>
      <c r="D94" t="s">
        <v>420</v>
      </c>
      <c r="E94" t="s">
        <v>556</v>
      </c>
      <c r="F94" t="s">
        <v>764</v>
      </c>
      <c r="G94" s="2">
        <v>45610</v>
      </c>
      <c r="H94" t="s">
        <v>16</v>
      </c>
      <c r="I94" t="s">
        <v>411</v>
      </c>
    </row>
    <row r="95" spans="1:10" ht="15" customHeight="1">
      <c r="A95" t="s">
        <v>765</v>
      </c>
      <c r="B95" t="s">
        <v>766</v>
      </c>
      <c r="C95" t="s">
        <v>407</v>
      </c>
      <c r="D95" t="s">
        <v>408</v>
      </c>
      <c r="E95" t="s">
        <v>767</v>
      </c>
      <c r="F95" t="s">
        <v>768</v>
      </c>
      <c r="G95" s="2">
        <v>45611</v>
      </c>
      <c r="H95" t="s">
        <v>16</v>
      </c>
      <c r="I95" t="s">
        <v>404</v>
      </c>
      <c r="J95" t="s">
        <v>769</v>
      </c>
    </row>
    <row r="96" spans="1:10" ht="15" customHeight="1">
      <c r="A96" t="s">
        <v>770</v>
      </c>
      <c r="B96" t="s">
        <v>771</v>
      </c>
      <c r="C96" t="s">
        <v>470</v>
      </c>
      <c r="D96" t="s">
        <v>415</v>
      </c>
      <c r="E96" t="s">
        <v>772</v>
      </c>
      <c r="F96" t="s">
        <v>738</v>
      </c>
      <c r="G96" s="2">
        <v>45612</v>
      </c>
      <c r="H96" t="s">
        <v>16</v>
      </c>
      <c r="I96" t="s">
        <v>404</v>
      </c>
    </row>
    <row r="97" spans="1:10" ht="15" customHeight="1">
      <c r="A97" t="s">
        <v>773</v>
      </c>
      <c r="B97" t="s">
        <v>774</v>
      </c>
      <c r="C97" t="s">
        <v>401</v>
      </c>
      <c r="D97" t="s">
        <v>401</v>
      </c>
      <c r="E97" t="s">
        <v>775</v>
      </c>
      <c r="F97" t="s">
        <v>741</v>
      </c>
      <c r="G97" s="2">
        <v>45613</v>
      </c>
      <c r="H97" t="s">
        <v>535</v>
      </c>
      <c r="I97" t="s">
        <v>536</v>
      </c>
    </row>
    <row r="98" spans="1:10" ht="15" customHeight="1">
      <c r="A98" t="s">
        <v>776</v>
      </c>
      <c r="B98" t="s">
        <v>777</v>
      </c>
      <c r="C98" t="s">
        <v>414</v>
      </c>
      <c r="D98" t="s">
        <v>415</v>
      </c>
      <c r="E98" t="s">
        <v>778</v>
      </c>
      <c r="F98" t="s">
        <v>744</v>
      </c>
      <c r="G98" s="2">
        <v>45614</v>
      </c>
      <c r="H98" t="s">
        <v>16</v>
      </c>
      <c r="I98" t="s">
        <v>404</v>
      </c>
    </row>
    <row r="99" spans="1:10" ht="15" customHeight="1">
      <c r="A99" t="s">
        <v>779</v>
      </c>
      <c r="B99" t="s">
        <v>780</v>
      </c>
      <c r="C99" t="s">
        <v>407</v>
      </c>
      <c r="D99" t="s">
        <v>408</v>
      </c>
      <c r="E99" t="s">
        <v>781</v>
      </c>
      <c r="F99" t="s">
        <v>748</v>
      </c>
      <c r="G99" s="2">
        <v>45615</v>
      </c>
      <c r="H99" t="s">
        <v>16</v>
      </c>
      <c r="I99" t="s">
        <v>518</v>
      </c>
    </row>
    <row r="100" spans="1:10" ht="15" customHeight="1">
      <c r="A100" t="s">
        <v>782</v>
      </c>
      <c r="B100" t="s">
        <v>783</v>
      </c>
      <c r="C100" t="s">
        <v>401</v>
      </c>
      <c r="D100" t="s">
        <v>401</v>
      </c>
      <c r="E100" t="s">
        <v>784</v>
      </c>
      <c r="F100" t="s">
        <v>752</v>
      </c>
      <c r="G100" s="2">
        <v>45616</v>
      </c>
      <c r="H100" t="s">
        <v>16</v>
      </c>
      <c r="I100" t="s">
        <v>404</v>
      </c>
    </row>
    <row r="101" spans="1:10" ht="15" customHeight="1">
      <c r="A101" t="s">
        <v>785</v>
      </c>
      <c r="B101" t="s">
        <v>786</v>
      </c>
      <c r="C101" t="s">
        <v>420</v>
      </c>
      <c r="D101" t="s">
        <v>408</v>
      </c>
      <c r="E101" t="s">
        <v>787</v>
      </c>
      <c r="F101" t="s">
        <v>756</v>
      </c>
      <c r="G101" s="2">
        <v>45617</v>
      </c>
      <c r="H101" t="s">
        <v>16</v>
      </c>
      <c r="I101" t="s">
        <v>404</v>
      </c>
    </row>
    <row r="102" spans="1:10" ht="15" customHeight="1">
      <c r="A102" t="s">
        <v>788</v>
      </c>
      <c r="B102" t="s">
        <v>789</v>
      </c>
      <c r="C102" t="s">
        <v>401</v>
      </c>
      <c r="D102" t="s">
        <v>401</v>
      </c>
      <c r="E102" t="s">
        <v>790</v>
      </c>
      <c r="F102" t="s">
        <v>791</v>
      </c>
      <c r="G102" s="2">
        <v>45618</v>
      </c>
      <c r="H102" t="s">
        <v>16</v>
      </c>
      <c r="I102" t="s">
        <v>404</v>
      </c>
    </row>
    <row r="103" spans="1:10" ht="15" customHeight="1">
      <c r="A103" t="s">
        <v>792</v>
      </c>
      <c r="B103" t="s">
        <v>793</v>
      </c>
      <c r="C103" t="s">
        <v>407</v>
      </c>
      <c r="D103" t="s">
        <v>408</v>
      </c>
      <c r="E103" t="s">
        <v>794</v>
      </c>
      <c r="F103" t="s">
        <v>795</v>
      </c>
      <c r="G103" s="2">
        <v>45619</v>
      </c>
      <c r="H103" t="s">
        <v>16</v>
      </c>
      <c r="I103" t="s">
        <v>411</v>
      </c>
    </row>
    <row r="104" spans="1:10" ht="15" customHeight="1">
      <c r="A104" t="s">
        <v>796</v>
      </c>
      <c r="B104" t="s">
        <v>797</v>
      </c>
      <c r="C104" t="s">
        <v>414</v>
      </c>
      <c r="D104" t="s">
        <v>415</v>
      </c>
      <c r="E104" t="s">
        <v>617</v>
      </c>
      <c r="F104" t="s">
        <v>798</v>
      </c>
      <c r="G104" s="2">
        <v>45620</v>
      </c>
      <c r="H104" t="s">
        <v>16</v>
      </c>
      <c r="I104" t="s">
        <v>404</v>
      </c>
    </row>
    <row r="105" spans="1:10" ht="15" customHeight="1">
      <c r="A105" t="s">
        <v>799</v>
      </c>
      <c r="B105" t="s">
        <v>800</v>
      </c>
      <c r="C105" t="s">
        <v>420</v>
      </c>
      <c r="D105" t="s">
        <v>408</v>
      </c>
      <c r="E105" t="s">
        <v>801</v>
      </c>
      <c r="F105" t="s">
        <v>802</v>
      </c>
      <c r="G105" s="2">
        <v>45621</v>
      </c>
      <c r="H105" t="s">
        <v>16</v>
      </c>
      <c r="I105" t="s">
        <v>518</v>
      </c>
    </row>
    <row r="106" spans="1:10" ht="15" customHeight="1">
      <c r="A106" t="s">
        <v>803</v>
      </c>
      <c r="B106" t="s">
        <v>804</v>
      </c>
      <c r="C106" t="s">
        <v>401</v>
      </c>
      <c r="D106" t="s">
        <v>401</v>
      </c>
      <c r="E106" t="s">
        <v>784</v>
      </c>
      <c r="G106" s="2">
        <v>45622</v>
      </c>
      <c r="H106" t="s">
        <v>16</v>
      </c>
      <c r="I106" t="s">
        <v>404</v>
      </c>
      <c r="J106" t="s">
        <v>566</v>
      </c>
    </row>
    <row r="107" spans="1:10" ht="15" customHeight="1">
      <c r="A107" t="s">
        <v>805</v>
      </c>
      <c r="B107" t="s">
        <v>806</v>
      </c>
      <c r="C107" t="s">
        <v>459</v>
      </c>
      <c r="D107" t="s">
        <v>460</v>
      </c>
      <c r="E107" t="s">
        <v>807</v>
      </c>
      <c r="F107" t="s">
        <v>808</v>
      </c>
      <c r="G107" s="2">
        <v>45623</v>
      </c>
      <c r="H107" t="s">
        <v>16</v>
      </c>
      <c r="I107" t="s">
        <v>423</v>
      </c>
    </row>
    <row r="108" spans="1:10" ht="15" customHeight="1">
      <c r="A108" t="s">
        <v>809</v>
      </c>
      <c r="B108" t="s">
        <v>810</v>
      </c>
      <c r="C108" t="s">
        <v>465</v>
      </c>
      <c r="D108" t="s">
        <v>415</v>
      </c>
      <c r="E108" t="s">
        <v>811</v>
      </c>
      <c r="F108" t="s">
        <v>812</v>
      </c>
      <c r="G108" s="2">
        <v>45624</v>
      </c>
      <c r="H108" t="s">
        <v>16</v>
      </c>
      <c r="I108" t="s">
        <v>404</v>
      </c>
    </row>
    <row r="109" spans="1:10" ht="15" customHeight="1">
      <c r="A109" t="s">
        <v>813</v>
      </c>
      <c r="B109" t="s">
        <v>814</v>
      </c>
      <c r="C109" t="s">
        <v>420</v>
      </c>
      <c r="D109" t="s">
        <v>408</v>
      </c>
      <c r="E109" t="s">
        <v>505</v>
      </c>
      <c r="F109" t="s">
        <v>815</v>
      </c>
      <c r="G109" s="2">
        <v>45625</v>
      </c>
      <c r="H109" t="s">
        <v>16</v>
      </c>
      <c r="I109" t="s">
        <v>536</v>
      </c>
    </row>
    <row r="110" spans="1:10" ht="15" customHeight="1">
      <c r="A110" t="s">
        <v>816</v>
      </c>
      <c r="B110" t="s">
        <v>732</v>
      </c>
      <c r="C110" t="s">
        <v>401</v>
      </c>
      <c r="D110" t="s">
        <v>401</v>
      </c>
      <c r="E110" t="s">
        <v>446</v>
      </c>
      <c r="F110" t="s">
        <v>817</v>
      </c>
      <c r="G110" s="2">
        <v>45626</v>
      </c>
      <c r="H110" t="s">
        <v>16</v>
      </c>
      <c r="I110" t="s">
        <v>404</v>
      </c>
    </row>
    <row r="111" spans="1:10" ht="15" customHeight="1">
      <c r="A111" t="s">
        <v>818</v>
      </c>
      <c r="B111" t="s">
        <v>819</v>
      </c>
      <c r="C111" t="s">
        <v>470</v>
      </c>
      <c r="D111" t="s">
        <v>415</v>
      </c>
      <c r="E111" t="s">
        <v>820</v>
      </c>
      <c r="F111" t="s">
        <v>821</v>
      </c>
      <c r="G111" s="2">
        <v>45627</v>
      </c>
      <c r="H111" t="s">
        <v>16</v>
      </c>
      <c r="I111" t="s">
        <v>404</v>
      </c>
      <c r="J111" t="s">
        <v>513</v>
      </c>
    </row>
    <row r="112" spans="1:10" ht="15" customHeight="1">
      <c r="A112" t="s">
        <v>822</v>
      </c>
      <c r="B112" t="s">
        <v>823</v>
      </c>
      <c r="C112" t="s">
        <v>426</v>
      </c>
      <c r="D112" t="s">
        <v>415</v>
      </c>
      <c r="E112" t="s">
        <v>824</v>
      </c>
      <c r="F112" t="s">
        <v>825</v>
      </c>
      <c r="G112" s="2">
        <v>45628</v>
      </c>
      <c r="H112" t="s">
        <v>16</v>
      </c>
      <c r="I112" t="s">
        <v>404</v>
      </c>
    </row>
    <row r="113" spans="1:10" ht="15" customHeight="1">
      <c r="A113" t="s">
        <v>826</v>
      </c>
      <c r="B113" t="s">
        <v>827</v>
      </c>
      <c r="C113" t="s">
        <v>407</v>
      </c>
      <c r="D113" t="s">
        <v>408</v>
      </c>
      <c r="E113" t="s">
        <v>828</v>
      </c>
      <c r="F113" t="s">
        <v>829</v>
      </c>
      <c r="G113" s="2">
        <v>45629</v>
      </c>
      <c r="H113" t="s">
        <v>16</v>
      </c>
      <c r="I113" t="s">
        <v>411</v>
      </c>
    </row>
    <row r="114" spans="1:10" ht="15" customHeight="1">
      <c r="A114" t="s">
        <v>830</v>
      </c>
      <c r="B114" t="s">
        <v>831</v>
      </c>
      <c r="C114" t="s">
        <v>401</v>
      </c>
      <c r="D114" t="s">
        <v>401</v>
      </c>
      <c r="E114" t="s">
        <v>832</v>
      </c>
      <c r="F114" t="s">
        <v>833</v>
      </c>
      <c r="G114" s="2">
        <v>45630</v>
      </c>
      <c r="H114" t="s">
        <v>16</v>
      </c>
      <c r="I114" t="s">
        <v>404</v>
      </c>
    </row>
    <row r="115" spans="1:10" ht="15" customHeight="1">
      <c r="A115" t="s">
        <v>834</v>
      </c>
      <c r="B115" t="s">
        <v>835</v>
      </c>
      <c r="C115" t="s">
        <v>431</v>
      </c>
      <c r="D115" t="s">
        <v>432</v>
      </c>
      <c r="E115" t="s">
        <v>556</v>
      </c>
      <c r="F115" t="s">
        <v>836</v>
      </c>
      <c r="G115" s="2">
        <v>45631</v>
      </c>
      <c r="H115" t="s">
        <v>16</v>
      </c>
      <c r="I115" t="s">
        <v>404</v>
      </c>
    </row>
    <row r="116" spans="1:10" ht="15" customHeight="1">
      <c r="A116" t="s">
        <v>837</v>
      </c>
      <c r="B116" t="s">
        <v>838</v>
      </c>
      <c r="C116" t="s">
        <v>420</v>
      </c>
      <c r="D116" t="s">
        <v>408</v>
      </c>
      <c r="E116" t="s">
        <v>695</v>
      </c>
      <c r="F116" t="s">
        <v>839</v>
      </c>
      <c r="G116" s="2">
        <v>45632</v>
      </c>
      <c r="H116" t="s">
        <v>535</v>
      </c>
      <c r="I116" t="s">
        <v>536</v>
      </c>
    </row>
    <row r="117" spans="1:10" ht="15" customHeight="1">
      <c r="A117" t="s">
        <v>840</v>
      </c>
      <c r="B117" t="s">
        <v>841</v>
      </c>
      <c r="C117" t="s">
        <v>414</v>
      </c>
      <c r="D117" t="s">
        <v>415</v>
      </c>
      <c r="E117" t="s">
        <v>581</v>
      </c>
      <c r="F117" t="s">
        <v>842</v>
      </c>
      <c r="G117" s="2">
        <v>45633</v>
      </c>
      <c r="H117" t="s">
        <v>16</v>
      </c>
      <c r="I117" t="s">
        <v>518</v>
      </c>
    </row>
    <row r="118" spans="1:10" ht="15" customHeight="1">
      <c r="A118" t="s">
        <v>843</v>
      </c>
      <c r="B118" t="s">
        <v>844</v>
      </c>
      <c r="C118" t="s">
        <v>479</v>
      </c>
      <c r="D118" t="s">
        <v>480</v>
      </c>
      <c r="E118" t="s">
        <v>845</v>
      </c>
      <c r="F118" t="s">
        <v>846</v>
      </c>
      <c r="G118" s="2">
        <v>45634</v>
      </c>
      <c r="H118" t="s">
        <v>16</v>
      </c>
      <c r="I118" t="s">
        <v>404</v>
      </c>
    </row>
    <row r="119" spans="1:10" ht="15" customHeight="1">
      <c r="A119" s="4" t="s">
        <v>847</v>
      </c>
      <c r="B119" s="4" t="s">
        <v>844</v>
      </c>
      <c r="C119" s="4" t="s">
        <v>479</v>
      </c>
      <c r="D119" s="4" t="s">
        <v>480</v>
      </c>
      <c r="E119" s="4" t="s">
        <v>845</v>
      </c>
      <c r="F119" s="4" t="s">
        <v>846</v>
      </c>
      <c r="G119" s="7">
        <v>45635</v>
      </c>
      <c r="H119" s="4" t="s">
        <v>66</v>
      </c>
      <c r="I119" s="4" t="s">
        <v>404</v>
      </c>
      <c r="J119" s="4" t="s">
        <v>848</v>
      </c>
    </row>
    <row r="120" spans="1:10" ht="15" customHeight="1">
      <c r="A120" t="s">
        <v>849</v>
      </c>
      <c r="B120" t="s">
        <v>850</v>
      </c>
      <c r="C120" t="s">
        <v>401</v>
      </c>
      <c r="D120" t="s">
        <v>401</v>
      </c>
      <c r="E120" t="s">
        <v>461</v>
      </c>
      <c r="F120" t="s">
        <v>851</v>
      </c>
      <c r="G120" s="2">
        <v>45636</v>
      </c>
      <c r="H120" t="s">
        <v>16</v>
      </c>
      <c r="I120" t="s">
        <v>423</v>
      </c>
    </row>
    <row r="121" spans="1:10" ht="15" customHeight="1">
      <c r="A121" t="s">
        <v>852</v>
      </c>
      <c r="B121" t="s">
        <v>853</v>
      </c>
      <c r="C121" t="s">
        <v>551</v>
      </c>
      <c r="D121" t="s">
        <v>408</v>
      </c>
      <c r="E121" t="s">
        <v>455</v>
      </c>
      <c r="G121" s="2">
        <v>45637</v>
      </c>
      <c r="H121" t="s">
        <v>16</v>
      </c>
      <c r="I121" t="s">
        <v>404</v>
      </c>
      <c r="J121" t="s">
        <v>530</v>
      </c>
    </row>
    <row r="122" spans="1:10" ht="15" customHeight="1">
      <c r="A122" t="s">
        <v>854</v>
      </c>
      <c r="B122" t="s">
        <v>855</v>
      </c>
      <c r="C122" t="s">
        <v>407</v>
      </c>
      <c r="D122" t="s">
        <v>408</v>
      </c>
      <c r="E122" t="s">
        <v>466</v>
      </c>
      <c r="F122" t="s">
        <v>856</v>
      </c>
      <c r="G122" s="2">
        <v>45638</v>
      </c>
      <c r="H122" t="s">
        <v>16</v>
      </c>
      <c r="I122" t="s">
        <v>404</v>
      </c>
    </row>
    <row r="123" spans="1:10" ht="15" customHeight="1">
      <c r="A123" t="s">
        <v>857</v>
      </c>
      <c r="B123" t="s">
        <v>858</v>
      </c>
      <c r="C123" t="s">
        <v>401</v>
      </c>
      <c r="D123" t="s">
        <v>401</v>
      </c>
      <c r="E123" t="s">
        <v>859</v>
      </c>
      <c r="F123" t="s">
        <v>860</v>
      </c>
      <c r="G123" s="2">
        <v>45639</v>
      </c>
      <c r="H123" t="s">
        <v>16</v>
      </c>
      <c r="I123" t="s">
        <v>452</v>
      </c>
    </row>
    <row r="124" spans="1:10" ht="15" customHeight="1">
      <c r="A124" t="s">
        <v>861</v>
      </c>
      <c r="B124" t="s">
        <v>862</v>
      </c>
      <c r="C124" t="s">
        <v>420</v>
      </c>
      <c r="D124" t="s">
        <v>420</v>
      </c>
      <c r="E124" t="s">
        <v>543</v>
      </c>
      <c r="F124" t="s">
        <v>863</v>
      </c>
      <c r="G124" s="2">
        <v>45640</v>
      </c>
      <c r="H124" t="s">
        <v>16</v>
      </c>
      <c r="I124" t="s">
        <v>404</v>
      </c>
    </row>
    <row r="125" spans="1:10" ht="15" customHeight="1">
      <c r="A125" t="s">
        <v>864</v>
      </c>
      <c r="B125" t="s">
        <v>865</v>
      </c>
      <c r="C125" t="s">
        <v>414</v>
      </c>
      <c r="D125" t="s">
        <v>415</v>
      </c>
      <c r="E125" t="s">
        <v>501</v>
      </c>
      <c r="F125" t="s">
        <v>866</v>
      </c>
      <c r="G125" s="2">
        <v>45641</v>
      </c>
      <c r="H125" t="s">
        <v>16</v>
      </c>
      <c r="I125" t="s">
        <v>404</v>
      </c>
    </row>
    <row r="126" spans="1:10" ht="15" customHeight="1">
      <c r="A126" t="s">
        <v>867</v>
      </c>
      <c r="B126" t="s">
        <v>868</v>
      </c>
      <c r="C126" t="s">
        <v>470</v>
      </c>
      <c r="D126" t="s">
        <v>415</v>
      </c>
      <c r="E126" t="s">
        <v>585</v>
      </c>
      <c r="F126" t="s">
        <v>869</v>
      </c>
      <c r="G126" s="2">
        <v>45642</v>
      </c>
      <c r="H126" t="s">
        <v>16</v>
      </c>
      <c r="I126" t="s">
        <v>404</v>
      </c>
    </row>
    <row r="127" spans="1:10" ht="15" customHeight="1">
      <c r="A127" t="s">
        <v>870</v>
      </c>
      <c r="B127" t="s">
        <v>871</v>
      </c>
      <c r="C127" t="s">
        <v>401</v>
      </c>
      <c r="D127" t="s">
        <v>401</v>
      </c>
      <c r="E127" t="s">
        <v>493</v>
      </c>
      <c r="F127" t="s">
        <v>872</v>
      </c>
      <c r="G127" s="2">
        <v>45643</v>
      </c>
      <c r="H127" t="s">
        <v>16</v>
      </c>
      <c r="I127" t="s">
        <v>439</v>
      </c>
    </row>
    <row r="128" spans="1:10" ht="15" customHeight="1">
      <c r="A128" t="s">
        <v>873</v>
      </c>
      <c r="B128" t="s">
        <v>874</v>
      </c>
      <c r="C128" t="s">
        <v>407</v>
      </c>
      <c r="D128" t="s">
        <v>408</v>
      </c>
      <c r="E128" t="s">
        <v>767</v>
      </c>
      <c r="F128" t="s">
        <v>875</v>
      </c>
      <c r="G128" s="2">
        <v>45644</v>
      </c>
      <c r="H128" t="s">
        <v>16</v>
      </c>
      <c r="I128" t="s">
        <v>404</v>
      </c>
    </row>
    <row r="129" spans="1:10" ht="15" customHeight="1">
      <c r="A129" t="s">
        <v>876</v>
      </c>
      <c r="B129" t="s">
        <v>877</v>
      </c>
      <c r="C129" t="s">
        <v>426</v>
      </c>
      <c r="D129" t="s">
        <v>415</v>
      </c>
      <c r="E129" t="s">
        <v>565</v>
      </c>
      <c r="F129" t="s">
        <v>878</v>
      </c>
      <c r="G129" s="2">
        <v>45645</v>
      </c>
      <c r="H129" t="s">
        <v>16</v>
      </c>
      <c r="I129" t="s">
        <v>404</v>
      </c>
    </row>
    <row r="130" spans="1:10" ht="15" customHeight="1">
      <c r="A130" s="4" t="s">
        <v>879</v>
      </c>
      <c r="B130" s="4" t="s">
        <v>400</v>
      </c>
      <c r="C130" s="4" t="s">
        <v>401</v>
      </c>
      <c r="D130" s="4" t="s">
        <v>401</v>
      </c>
      <c r="E130" s="4" t="s">
        <v>402</v>
      </c>
      <c r="F130" s="4" t="s">
        <v>403</v>
      </c>
      <c r="G130" s="7">
        <v>45646</v>
      </c>
      <c r="H130" s="4" t="s">
        <v>66</v>
      </c>
      <c r="I130" s="4" t="s">
        <v>404</v>
      </c>
      <c r="J130" s="4" t="s">
        <v>508</v>
      </c>
    </row>
    <row r="131" spans="1:10" ht="15" customHeight="1">
      <c r="A131" t="s">
        <v>880</v>
      </c>
      <c r="B131" t="s">
        <v>881</v>
      </c>
      <c r="C131" t="s">
        <v>420</v>
      </c>
      <c r="D131" t="s">
        <v>408</v>
      </c>
      <c r="E131" t="s">
        <v>442</v>
      </c>
      <c r="F131" t="s">
        <v>882</v>
      </c>
      <c r="G131" s="2">
        <v>45647</v>
      </c>
      <c r="H131" t="s">
        <v>16</v>
      </c>
      <c r="I131" t="s">
        <v>423</v>
      </c>
    </row>
    <row r="132" spans="1:10" ht="15" customHeight="1">
      <c r="A132" t="s">
        <v>883</v>
      </c>
      <c r="B132" t="s">
        <v>884</v>
      </c>
      <c r="C132" t="s">
        <v>431</v>
      </c>
      <c r="D132" t="s">
        <v>432</v>
      </c>
      <c r="E132" t="s">
        <v>539</v>
      </c>
      <c r="F132" t="s">
        <v>885</v>
      </c>
      <c r="G132" s="2">
        <v>45648</v>
      </c>
      <c r="H132" t="s">
        <v>16</v>
      </c>
      <c r="I132" t="s">
        <v>536</v>
      </c>
    </row>
    <row r="133" spans="1:10" ht="15" customHeight="1">
      <c r="A133" s="4" t="s">
        <v>886</v>
      </c>
      <c r="B133" s="4" t="s">
        <v>648</v>
      </c>
      <c r="C133" s="4" t="s">
        <v>401</v>
      </c>
      <c r="D133" s="4" t="s">
        <v>401</v>
      </c>
      <c r="E133" s="4" t="s">
        <v>433</v>
      </c>
      <c r="F133" s="4" t="s">
        <v>649</v>
      </c>
      <c r="G133" s="7">
        <v>45649</v>
      </c>
      <c r="H133" s="4" t="s">
        <v>66</v>
      </c>
      <c r="I133" s="4" t="s">
        <v>404</v>
      </c>
      <c r="J133" s="4" t="s">
        <v>887</v>
      </c>
    </row>
    <row r="134" spans="1:10" ht="15" customHeight="1">
      <c r="A134" t="s">
        <v>888</v>
      </c>
      <c r="B134" t="s">
        <v>889</v>
      </c>
      <c r="C134" t="s">
        <v>407</v>
      </c>
      <c r="D134" t="s">
        <v>408</v>
      </c>
      <c r="E134" t="s">
        <v>890</v>
      </c>
      <c r="F134" t="s">
        <v>891</v>
      </c>
      <c r="G134" s="2">
        <v>45650</v>
      </c>
      <c r="H134" t="s">
        <v>16</v>
      </c>
      <c r="I134" t="s">
        <v>404</v>
      </c>
    </row>
    <row r="135" spans="1:10" ht="15" customHeight="1">
      <c r="A135" t="s">
        <v>892</v>
      </c>
      <c r="B135" t="s">
        <v>893</v>
      </c>
      <c r="C135" t="s">
        <v>420</v>
      </c>
      <c r="D135" t="s">
        <v>408</v>
      </c>
      <c r="E135" t="s">
        <v>894</v>
      </c>
      <c r="F135" t="s">
        <v>895</v>
      </c>
      <c r="G135" s="2">
        <v>45651</v>
      </c>
      <c r="H135" t="s">
        <v>16</v>
      </c>
      <c r="I135" t="s">
        <v>518</v>
      </c>
    </row>
    <row r="136" spans="1:10" ht="15" customHeight="1">
      <c r="A136" t="s">
        <v>896</v>
      </c>
      <c r="B136" t="s">
        <v>897</v>
      </c>
      <c r="C136" t="s">
        <v>414</v>
      </c>
      <c r="D136" t="s">
        <v>415</v>
      </c>
      <c r="E136" t="s">
        <v>633</v>
      </c>
      <c r="F136" t="s">
        <v>898</v>
      </c>
      <c r="G136" s="2">
        <v>45652</v>
      </c>
      <c r="H136" t="s">
        <v>16</v>
      </c>
      <c r="I136" t="s">
        <v>404</v>
      </c>
    </row>
    <row r="137" spans="1:10" ht="15" customHeight="1">
      <c r="A137" t="s">
        <v>899</v>
      </c>
      <c r="B137" t="s">
        <v>900</v>
      </c>
      <c r="C137" t="s">
        <v>401</v>
      </c>
      <c r="D137" t="s">
        <v>401</v>
      </c>
      <c r="E137" t="s">
        <v>787</v>
      </c>
      <c r="F137" t="s">
        <v>901</v>
      </c>
      <c r="G137" s="2">
        <v>45653</v>
      </c>
      <c r="H137" t="s">
        <v>16</v>
      </c>
      <c r="I137" t="s">
        <v>411</v>
      </c>
    </row>
    <row r="138" spans="1:10" ht="15" customHeight="1">
      <c r="A138" t="s">
        <v>902</v>
      </c>
      <c r="B138" t="s">
        <v>903</v>
      </c>
      <c r="C138" t="s">
        <v>407</v>
      </c>
      <c r="D138" t="s">
        <v>408</v>
      </c>
      <c r="E138" t="s">
        <v>573</v>
      </c>
      <c r="F138" t="s">
        <v>904</v>
      </c>
      <c r="G138" s="2">
        <v>45654</v>
      </c>
      <c r="H138" t="s">
        <v>16</v>
      </c>
      <c r="I138" t="s">
        <v>404</v>
      </c>
    </row>
    <row r="139" spans="1:10" ht="15" customHeight="1">
      <c r="A139" t="s">
        <v>905</v>
      </c>
      <c r="B139" t="s">
        <v>906</v>
      </c>
      <c r="C139" t="s">
        <v>420</v>
      </c>
      <c r="D139" t="s">
        <v>408</v>
      </c>
      <c r="E139" t="s">
        <v>547</v>
      </c>
      <c r="G139" s="2">
        <v>45655</v>
      </c>
      <c r="H139" t="s">
        <v>16</v>
      </c>
      <c r="I139" t="s">
        <v>404</v>
      </c>
      <c r="J139" t="s">
        <v>566</v>
      </c>
    </row>
    <row r="140" spans="1:10" ht="15" customHeight="1">
      <c r="A140" t="s">
        <v>907</v>
      </c>
      <c r="B140" t="s">
        <v>908</v>
      </c>
      <c r="C140" t="s">
        <v>401</v>
      </c>
      <c r="D140" t="s">
        <v>401</v>
      </c>
      <c r="E140" t="s">
        <v>481</v>
      </c>
      <c r="F140" t="s">
        <v>909</v>
      </c>
      <c r="G140" s="2">
        <v>45656</v>
      </c>
      <c r="H140" t="s">
        <v>16</v>
      </c>
      <c r="I140" t="s">
        <v>404</v>
      </c>
    </row>
    <row r="141" spans="1:10" ht="15" customHeight="1">
      <c r="A141" s="4" t="s">
        <v>910</v>
      </c>
      <c r="B141" s="4" t="s">
        <v>783</v>
      </c>
      <c r="C141" s="4" t="s">
        <v>459</v>
      </c>
      <c r="D141" s="4" t="s">
        <v>460</v>
      </c>
      <c r="E141" s="4" t="s">
        <v>784</v>
      </c>
      <c r="F141" s="4" t="s">
        <v>911</v>
      </c>
      <c r="G141" s="7">
        <v>45657</v>
      </c>
      <c r="H141" s="4" t="s">
        <v>66</v>
      </c>
      <c r="I141" s="4" t="s">
        <v>423</v>
      </c>
      <c r="J141" s="4" t="s">
        <v>912</v>
      </c>
    </row>
    <row r="142" spans="1:10" ht="15" customHeight="1">
      <c r="A142" t="s">
        <v>913</v>
      </c>
      <c r="B142" t="s">
        <v>914</v>
      </c>
      <c r="C142" t="s">
        <v>465</v>
      </c>
      <c r="D142" t="s">
        <v>415</v>
      </c>
      <c r="E142" t="s">
        <v>642</v>
      </c>
      <c r="F142" t="s">
        <v>915</v>
      </c>
      <c r="G142" s="2">
        <v>45658</v>
      </c>
      <c r="H142" t="s">
        <v>16</v>
      </c>
      <c r="I142" t="s">
        <v>404</v>
      </c>
    </row>
    <row r="143" spans="1:10" ht="15" customHeight="1">
      <c r="A143" t="s">
        <v>916</v>
      </c>
      <c r="B143" t="s">
        <v>917</v>
      </c>
      <c r="C143" t="s">
        <v>407</v>
      </c>
      <c r="D143" t="s">
        <v>408</v>
      </c>
      <c r="E143" t="s">
        <v>446</v>
      </c>
      <c r="F143" t="s">
        <v>918</v>
      </c>
      <c r="G143" s="2">
        <v>45659</v>
      </c>
      <c r="H143" t="s">
        <v>16</v>
      </c>
      <c r="I143" t="s">
        <v>404</v>
      </c>
    </row>
    <row r="144" spans="1:10" ht="15" customHeight="1">
      <c r="A144" t="s">
        <v>919</v>
      </c>
      <c r="B144" t="s">
        <v>920</v>
      </c>
      <c r="C144" t="s">
        <v>420</v>
      </c>
      <c r="D144" t="s">
        <v>408</v>
      </c>
      <c r="E144" t="s">
        <v>794</v>
      </c>
      <c r="F144" t="s">
        <v>921</v>
      </c>
      <c r="G144" s="2">
        <v>45660</v>
      </c>
      <c r="H144" t="s">
        <v>16</v>
      </c>
      <c r="I144" t="s">
        <v>404</v>
      </c>
    </row>
    <row r="145" spans="1:10" ht="15" customHeight="1">
      <c r="A145" t="s">
        <v>922</v>
      </c>
      <c r="B145" t="s">
        <v>923</v>
      </c>
      <c r="C145" t="s">
        <v>401</v>
      </c>
      <c r="D145" t="s">
        <v>401</v>
      </c>
      <c r="E145" t="s">
        <v>521</v>
      </c>
      <c r="F145" t="s">
        <v>924</v>
      </c>
      <c r="G145" s="2">
        <v>45661</v>
      </c>
      <c r="H145" t="s">
        <v>16</v>
      </c>
      <c r="I145" t="s">
        <v>536</v>
      </c>
    </row>
    <row r="146" spans="1:10" ht="15" customHeight="1">
      <c r="A146" t="s">
        <v>925</v>
      </c>
      <c r="B146" t="s">
        <v>926</v>
      </c>
      <c r="C146" t="s">
        <v>414</v>
      </c>
      <c r="D146" t="s">
        <v>415</v>
      </c>
      <c r="E146" t="s">
        <v>552</v>
      </c>
      <c r="F146" t="s">
        <v>927</v>
      </c>
      <c r="G146" s="2">
        <v>45662</v>
      </c>
      <c r="H146" t="s">
        <v>535</v>
      </c>
      <c r="I146" t="s">
        <v>404</v>
      </c>
    </row>
    <row r="147" spans="1:10" ht="15" customHeight="1">
      <c r="A147" t="s">
        <v>928</v>
      </c>
      <c r="B147" t="s">
        <v>929</v>
      </c>
      <c r="C147" t="s">
        <v>470</v>
      </c>
      <c r="D147" t="s">
        <v>415</v>
      </c>
      <c r="E147" t="s">
        <v>930</v>
      </c>
      <c r="F147" t="s">
        <v>931</v>
      </c>
      <c r="G147" s="2">
        <v>45663</v>
      </c>
      <c r="H147" t="s">
        <v>16</v>
      </c>
      <c r="I147" t="s">
        <v>404</v>
      </c>
      <c r="J147" t="s">
        <v>513</v>
      </c>
    </row>
    <row r="148" spans="1:10" ht="15" customHeight="1">
      <c r="A148" s="4" t="s">
        <v>932</v>
      </c>
      <c r="B148" s="4" t="s">
        <v>430</v>
      </c>
      <c r="C148" s="4" t="s">
        <v>431</v>
      </c>
      <c r="D148" s="4" t="s">
        <v>432</v>
      </c>
      <c r="E148" s="4" t="s">
        <v>433</v>
      </c>
      <c r="F148" s="4" t="s">
        <v>434</v>
      </c>
      <c r="G148" s="7">
        <v>45664</v>
      </c>
      <c r="H148" s="4" t="s">
        <v>66</v>
      </c>
      <c r="I148" s="4" t="s">
        <v>411</v>
      </c>
      <c r="J148" s="4" t="s">
        <v>933</v>
      </c>
    </row>
    <row r="149" spans="1:10" ht="15" customHeight="1">
      <c r="A149" t="s">
        <v>934</v>
      </c>
      <c r="B149" t="s">
        <v>710</v>
      </c>
      <c r="C149" t="s">
        <v>420</v>
      </c>
      <c r="D149" t="s">
        <v>420</v>
      </c>
      <c r="E149" t="s">
        <v>471</v>
      </c>
      <c r="F149" t="s">
        <v>935</v>
      </c>
      <c r="G149" s="2">
        <v>45665</v>
      </c>
      <c r="H149" t="s">
        <v>16</v>
      </c>
      <c r="I149" t="s">
        <v>404</v>
      </c>
    </row>
    <row r="150" spans="1:10" ht="15" customHeight="1">
      <c r="A150" s="4" t="s">
        <v>936</v>
      </c>
      <c r="B150" s="4" t="s">
        <v>723</v>
      </c>
      <c r="C150" s="4" t="s">
        <v>401</v>
      </c>
      <c r="D150" s="4" t="s">
        <v>401</v>
      </c>
      <c r="E150" s="4" t="s">
        <v>529</v>
      </c>
      <c r="F150" s="4" t="s">
        <v>937</v>
      </c>
      <c r="G150" s="7">
        <v>45666</v>
      </c>
      <c r="H150" s="4" t="s">
        <v>66</v>
      </c>
      <c r="I150" s="4" t="s">
        <v>404</v>
      </c>
      <c r="J150" s="4" t="s">
        <v>938</v>
      </c>
    </row>
    <row r="151" spans="1:10" ht="15" customHeight="1">
      <c r="A151" s="4" t="s">
        <v>939</v>
      </c>
      <c r="B151" s="4" t="s">
        <v>458</v>
      </c>
      <c r="C151" s="4" t="s">
        <v>459</v>
      </c>
      <c r="D151" s="4" t="s">
        <v>460</v>
      </c>
      <c r="E151" s="4" t="s">
        <v>461</v>
      </c>
      <c r="F151" s="4" t="s">
        <v>940</v>
      </c>
      <c r="G151" s="7">
        <v>45667</v>
      </c>
      <c r="H151" s="4" t="s">
        <v>66</v>
      </c>
      <c r="I151" s="4" t="s">
        <v>518</v>
      </c>
      <c r="J151" s="4" t="s">
        <v>941</v>
      </c>
    </row>
  </sheetData>
  <pageMargins left="0.7" right="0.7" top="0.75" bottom="0.75" header="0.511811023622047" footer="0.511811023622047"/>
  <pageSetup paperSize="9" orientation="portrait" horizontalDpi="300" verticalDpi="30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151"/>
  <sheetViews>
    <sheetView topLeftCell="A60" zoomScaleNormal="100" workbookViewId="0">
      <selection activeCell="L8" sqref="L8"/>
    </sheetView>
  </sheetViews>
  <sheetFormatPr defaultColWidth="8.5703125" defaultRowHeight="15" customHeight="1"/>
  <cols>
    <col min="1" max="1" width="11.7109375" customWidth="1"/>
    <col min="2" max="2" width="13.85546875" style="2" customWidth="1"/>
    <col min="3" max="3" width="12.85546875" customWidth="1"/>
    <col min="4" max="4" width="13.28515625" customWidth="1"/>
    <col min="5" max="5" width="13.7109375" customWidth="1"/>
    <col min="6" max="6" width="16.5703125" style="1" customWidth="1"/>
    <col min="7" max="7" width="14.85546875" style="8" customWidth="1"/>
    <col min="8" max="8" width="13.7109375" customWidth="1"/>
    <col min="9" max="9" width="12" customWidth="1"/>
    <col min="10" max="10" width="10.42578125" customWidth="1"/>
    <col min="11" max="11" width="21.28515625" customWidth="1"/>
    <col min="12" max="12" width="160" customWidth="1"/>
  </cols>
  <sheetData>
    <row r="1" spans="1:12" ht="15" customHeight="1">
      <c r="A1" t="s">
        <v>942</v>
      </c>
      <c r="B1" s="2" t="s">
        <v>943</v>
      </c>
      <c r="C1" t="s">
        <v>391</v>
      </c>
      <c r="D1" t="s">
        <v>0</v>
      </c>
      <c r="E1" t="s">
        <v>944</v>
      </c>
      <c r="F1" s="1" t="s">
        <v>4</v>
      </c>
      <c r="G1" s="8" t="s">
        <v>945</v>
      </c>
      <c r="H1" t="s">
        <v>946</v>
      </c>
      <c r="I1" t="s">
        <v>947</v>
      </c>
      <c r="J1" t="s">
        <v>8</v>
      </c>
      <c r="K1" t="s">
        <v>948</v>
      </c>
      <c r="L1" t="s">
        <v>10</v>
      </c>
    </row>
    <row r="2" spans="1:12" ht="15" customHeight="1">
      <c r="A2" t="s">
        <v>949</v>
      </c>
      <c r="B2" s="2">
        <v>46024</v>
      </c>
      <c r="C2" t="s">
        <v>399</v>
      </c>
      <c r="D2" t="s">
        <v>11</v>
      </c>
      <c r="E2">
        <v>2</v>
      </c>
      <c r="F2" s="1">
        <v>180</v>
      </c>
      <c r="G2" s="8">
        <v>0</v>
      </c>
      <c r="H2" t="s">
        <v>411</v>
      </c>
      <c r="I2" t="s">
        <v>950</v>
      </c>
      <c r="J2" t="s">
        <v>951</v>
      </c>
      <c r="K2" t="s">
        <v>952</v>
      </c>
    </row>
    <row r="3" spans="1:12" ht="15" customHeight="1">
      <c r="A3" t="s">
        <v>953</v>
      </c>
      <c r="B3" s="2">
        <v>46025</v>
      </c>
      <c r="C3" t="s">
        <v>405</v>
      </c>
      <c r="D3" t="s">
        <v>26</v>
      </c>
      <c r="E3">
        <v>1</v>
      </c>
      <c r="F3" s="1">
        <v>850</v>
      </c>
      <c r="G3" s="8">
        <v>5</v>
      </c>
      <c r="H3" t="s">
        <v>404</v>
      </c>
      <c r="I3" t="s">
        <v>954</v>
      </c>
      <c r="J3" t="s">
        <v>951</v>
      </c>
      <c r="K3" t="s">
        <v>955</v>
      </c>
    </row>
    <row r="4" spans="1:12" ht="15" customHeight="1">
      <c r="A4" t="s">
        <v>956</v>
      </c>
      <c r="B4" s="2">
        <v>46026</v>
      </c>
      <c r="C4" t="s">
        <v>412</v>
      </c>
      <c r="D4" t="s">
        <v>22</v>
      </c>
      <c r="E4">
        <v>5</v>
      </c>
      <c r="F4" s="1">
        <v>25</v>
      </c>
      <c r="G4" s="8">
        <v>0</v>
      </c>
      <c r="H4" t="s">
        <v>536</v>
      </c>
      <c r="I4" t="s">
        <v>950</v>
      </c>
      <c r="J4" t="s">
        <v>951</v>
      </c>
      <c r="K4" t="s">
        <v>957</v>
      </c>
    </row>
    <row r="5" spans="1:12" ht="15" customHeight="1">
      <c r="A5" t="s">
        <v>958</v>
      </c>
      <c r="B5" s="2">
        <v>46027</v>
      </c>
      <c r="C5" t="s">
        <v>418</v>
      </c>
      <c r="D5" t="s">
        <v>17</v>
      </c>
      <c r="E5">
        <v>3</v>
      </c>
      <c r="F5" s="1">
        <v>75</v>
      </c>
      <c r="G5" s="8">
        <v>10</v>
      </c>
      <c r="H5" t="s">
        <v>404</v>
      </c>
      <c r="I5" t="s">
        <v>959</v>
      </c>
      <c r="J5" t="s">
        <v>951</v>
      </c>
      <c r="K5" t="s">
        <v>955</v>
      </c>
    </row>
    <row r="6" spans="1:12" ht="15" customHeight="1">
      <c r="A6" t="s">
        <v>960</v>
      </c>
      <c r="B6" s="2">
        <v>46028</v>
      </c>
      <c r="C6" t="s">
        <v>424</v>
      </c>
      <c r="D6" t="s">
        <v>29</v>
      </c>
      <c r="E6">
        <v>2</v>
      </c>
      <c r="F6" s="1">
        <v>60</v>
      </c>
      <c r="G6" s="8">
        <v>0</v>
      </c>
      <c r="H6" t="s">
        <v>411</v>
      </c>
      <c r="I6" t="s">
        <v>950</v>
      </c>
      <c r="J6" t="s">
        <v>961</v>
      </c>
      <c r="K6" t="s">
        <v>962</v>
      </c>
      <c r="L6" t="s">
        <v>963</v>
      </c>
    </row>
    <row r="7" spans="1:12" ht="15" customHeight="1">
      <c r="A7" t="s">
        <v>964</v>
      </c>
      <c r="B7" s="2">
        <v>46029</v>
      </c>
      <c r="C7" t="s">
        <v>429</v>
      </c>
      <c r="D7" t="s">
        <v>33</v>
      </c>
      <c r="E7">
        <v>4</v>
      </c>
      <c r="F7" s="1">
        <v>120</v>
      </c>
      <c r="G7" s="8">
        <v>0</v>
      </c>
      <c r="H7" t="s">
        <v>404</v>
      </c>
      <c r="I7" t="s">
        <v>954</v>
      </c>
      <c r="J7" t="s">
        <v>951</v>
      </c>
      <c r="K7" t="s">
        <v>965</v>
      </c>
    </row>
    <row r="8" spans="1:12" ht="15" customHeight="1">
      <c r="A8" t="s">
        <v>966</v>
      </c>
      <c r="B8" s="2">
        <v>46030</v>
      </c>
      <c r="C8" t="s">
        <v>435</v>
      </c>
      <c r="D8" t="s">
        <v>38</v>
      </c>
      <c r="E8">
        <v>2</v>
      </c>
      <c r="F8" s="1">
        <v>120</v>
      </c>
      <c r="G8" s="8">
        <v>0</v>
      </c>
      <c r="H8" t="s">
        <v>536</v>
      </c>
      <c r="I8" t="s">
        <v>950</v>
      </c>
      <c r="J8" t="s">
        <v>951</v>
      </c>
      <c r="K8" t="s">
        <v>957</v>
      </c>
    </row>
    <row r="9" spans="1:12" ht="15" customHeight="1">
      <c r="A9" t="s">
        <v>967</v>
      </c>
      <c r="B9" s="2">
        <v>46031</v>
      </c>
      <c r="C9" t="s">
        <v>440</v>
      </c>
      <c r="D9" t="s">
        <v>41</v>
      </c>
      <c r="E9">
        <v>1</v>
      </c>
      <c r="F9" s="1">
        <v>119.99</v>
      </c>
      <c r="G9" s="8">
        <v>0</v>
      </c>
      <c r="H9" t="s">
        <v>404</v>
      </c>
      <c r="I9" t="s">
        <v>959</v>
      </c>
      <c r="J9" t="s">
        <v>951</v>
      </c>
      <c r="K9" t="s">
        <v>955</v>
      </c>
    </row>
    <row r="10" spans="1:12" ht="15" customHeight="1">
      <c r="A10" t="s">
        <v>968</v>
      </c>
      <c r="B10" s="2">
        <v>46032</v>
      </c>
      <c r="C10" t="s">
        <v>444</v>
      </c>
      <c r="D10" t="s">
        <v>43</v>
      </c>
      <c r="E10">
        <v>1</v>
      </c>
      <c r="F10" s="1">
        <v>210</v>
      </c>
      <c r="G10" s="8">
        <v>0</v>
      </c>
      <c r="H10" t="s">
        <v>411</v>
      </c>
      <c r="I10" t="s">
        <v>969</v>
      </c>
      <c r="J10" t="s">
        <v>951</v>
      </c>
      <c r="K10" t="s">
        <v>952</v>
      </c>
    </row>
    <row r="11" spans="1:12" ht="15" customHeight="1">
      <c r="A11" t="s">
        <v>970</v>
      </c>
      <c r="B11" s="2">
        <v>46033</v>
      </c>
      <c r="C11" t="s">
        <v>448</v>
      </c>
      <c r="D11" t="s">
        <v>48</v>
      </c>
      <c r="E11">
        <v>6</v>
      </c>
      <c r="F11" s="1">
        <v>35</v>
      </c>
      <c r="G11" s="8">
        <v>15</v>
      </c>
      <c r="H11" t="s">
        <v>404</v>
      </c>
      <c r="I11" t="s">
        <v>954</v>
      </c>
      <c r="J11" t="s">
        <v>951</v>
      </c>
      <c r="K11" t="s">
        <v>955</v>
      </c>
    </row>
    <row r="12" spans="1:12" ht="15" customHeight="1">
      <c r="A12" t="s">
        <v>971</v>
      </c>
      <c r="B12" s="2">
        <v>46034</v>
      </c>
      <c r="C12" t="s">
        <v>453</v>
      </c>
      <c r="D12" t="s">
        <v>51</v>
      </c>
      <c r="E12">
        <v>2</v>
      </c>
      <c r="F12" s="1">
        <v>95</v>
      </c>
      <c r="G12" s="8">
        <v>0</v>
      </c>
      <c r="H12" t="s">
        <v>536</v>
      </c>
      <c r="I12" t="s">
        <v>950</v>
      </c>
      <c r="J12" t="s">
        <v>951</v>
      </c>
      <c r="K12" t="s">
        <v>957</v>
      </c>
    </row>
    <row r="13" spans="1:12" ht="15" customHeight="1">
      <c r="A13" t="s">
        <v>972</v>
      </c>
      <c r="B13" s="2">
        <v>46035</v>
      </c>
      <c r="C13" t="s">
        <v>457</v>
      </c>
      <c r="D13" t="s">
        <v>56</v>
      </c>
      <c r="E13">
        <v>1</v>
      </c>
      <c r="F13" s="1">
        <v>70</v>
      </c>
      <c r="G13" s="8">
        <v>0</v>
      </c>
      <c r="H13" t="s">
        <v>404</v>
      </c>
      <c r="I13" t="s">
        <v>959</v>
      </c>
      <c r="J13" t="s">
        <v>951</v>
      </c>
      <c r="K13" t="s">
        <v>965</v>
      </c>
    </row>
    <row r="14" spans="1:12" ht="15" customHeight="1">
      <c r="A14" t="s">
        <v>973</v>
      </c>
      <c r="B14" s="2">
        <v>46036</v>
      </c>
      <c r="C14" t="s">
        <v>463</v>
      </c>
      <c r="D14" t="s">
        <v>59</v>
      </c>
      <c r="E14">
        <v>10</v>
      </c>
      <c r="F14" s="1">
        <v>12</v>
      </c>
      <c r="G14" s="8">
        <v>0</v>
      </c>
      <c r="H14" t="s">
        <v>411</v>
      </c>
      <c r="I14" t="s">
        <v>950</v>
      </c>
      <c r="J14" t="s">
        <v>951</v>
      </c>
      <c r="K14" t="s">
        <v>962</v>
      </c>
    </row>
    <row r="15" spans="1:12" ht="15" customHeight="1">
      <c r="A15" t="s">
        <v>974</v>
      </c>
      <c r="B15" s="2">
        <v>46037</v>
      </c>
      <c r="C15" t="s">
        <v>468</v>
      </c>
      <c r="D15" t="s">
        <v>64</v>
      </c>
      <c r="E15">
        <v>8</v>
      </c>
      <c r="F15" s="1">
        <v>12</v>
      </c>
      <c r="G15" s="8">
        <v>0</v>
      </c>
      <c r="H15" t="s">
        <v>404</v>
      </c>
      <c r="I15" t="s">
        <v>954</v>
      </c>
      <c r="J15" t="s">
        <v>951</v>
      </c>
      <c r="K15" t="s">
        <v>955</v>
      </c>
    </row>
    <row r="16" spans="1:12" ht="15" customHeight="1">
      <c r="A16" t="s">
        <v>975</v>
      </c>
      <c r="B16" s="2">
        <v>46038</v>
      </c>
      <c r="C16" t="s">
        <v>473</v>
      </c>
      <c r="D16" t="s">
        <v>68</v>
      </c>
      <c r="E16">
        <v>3</v>
      </c>
      <c r="F16" s="1">
        <v>15</v>
      </c>
      <c r="G16" s="8">
        <v>0</v>
      </c>
      <c r="H16" t="s">
        <v>404</v>
      </c>
      <c r="I16" t="s">
        <v>950</v>
      </c>
      <c r="J16" t="s">
        <v>951</v>
      </c>
      <c r="K16" t="s">
        <v>957</v>
      </c>
    </row>
    <row r="17" spans="1:12" ht="15" customHeight="1">
      <c r="A17" t="s">
        <v>976</v>
      </c>
      <c r="B17" s="2">
        <v>46039</v>
      </c>
      <c r="C17" t="s">
        <v>477</v>
      </c>
      <c r="D17" t="s">
        <v>73</v>
      </c>
      <c r="E17">
        <v>-2</v>
      </c>
      <c r="F17" s="1">
        <v>15</v>
      </c>
      <c r="G17" s="8">
        <v>0</v>
      </c>
      <c r="H17" t="s">
        <v>411</v>
      </c>
      <c r="I17" t="s">
        <v>959</v>
      </c>
      <c r="J17" t="s">
        <v>951</v>
      </c>
      <c r="K17" t="s">
        <v>962</v>
      </c>
      <c r="L17" t="s">
        <v>977</v>
      </c>
    </row>
    <row r="18" spans="1:12" ht="15" customHeight="1">
      <c r="A18" t="s">
        <v>978</v>
      </c>
      <c r="B18" s="2">
        <v>46040</v>
      </c>
      <c r="C18" t="s">
        <v>483</v>
      </c>
      <c r="D18" t="s">
        <v>76</v>
      </c>
      <c r="E18">
        <v>2</v>
      </c>
      <c r="F18" s="1">
        <v>55</v>
      </c>
      <c r="G18" s="8">
        <v>0</v>
      </c>
      <c r="H18" t="s">
        <v>404</v>
      </c>
      <c r="I18" t="s">
        <v>954</v>
      </c>
      <c r="J18" t="s">
        <v>951</v>
      </c>
      <c r="K18" t="s">
        <v>955</v>
      </c>
    </row>
    <row r="19" spans="1:12" ht="15" customHeight="1">
      <c r="A19" t="s">
        <v>979</v>
      </c>
      <c r="B19" s="2">
        <v>46041</v>
      </c>
      <c r="C19" t="s">
        <v>487</v>
      </c>
      <c r="D19" t="s">
        <v>80</v>
      </c>
      <c r="E19">
        <v>1</v>
      </c>
      <c r="F19" s="1">
        <v>80</v>
      </c>
      <c r="G19" s="8">
        <v>0</v>
      </c>
      <c r="H19" t="s">
        <v>536</v>
      </c>
      <c r="I19" t="s">
        <v>950</v>
      </c>
      <c r="J19" t="s">
        <v>951</v>
      </c>
      <c r="K19" t="s">
        <v>957</v>
      </c>
    </row>
    <row r="20" spans="1:12" ht="15" customHeight="1">
      <c r="A20" t="s">
        <v>980</v>
      </c>
      <c r="B20" s="2">
        <v>46042</v>
      </c>
      <c r="C20" t="s">
        <v>491</v>
      </c>
      <c r="D20" t="s">
        <v>84</v>
      </c>
      <c r="E20">
        <v>1</v>
      </c>
      <c r="F20" s="1">
        <v>80</v>
      </c>
      <c r="G20" s="8">
        <v>0</v>
      </c>
      <c r="H20" t="s">
        <v>404</v>
      </c>
      <c r="I20" t="s">
        <v>981</v>
      </c>
      <c r="J20" t="s">
        <v>951</v>
      </c>
      <c r="K20" t="s">
        <v>965</v>
      </c>
    </row>
    <row r="21" spans="1:12" ht="15" customHeight="1">
      <c r="A21" t="s">
        <v>982</v>
      </c>
      <c r="B21" s="2">
        <v>46043</v>
      </c>
      <c r="C21" t="s">
        <v>495</v>
      </c>
      <c r="D21" t="s">
        <v>86</v>
      </c>
      <c r="E21">
        <v>2</v>
      </c>
      <c r="F21" s="1">
        <v>65</v>
      </c>
      <c r="G21" s="8">
        <v>5</v>
      </c>
      <c r="H21" t="s">
        <v>411</v>
      </c>
      <c r="I21" t="s">
        <v>950</v>
      </c>
      <c r="J21" t="s">
        <v>951</v>
      </c>
      <c r="K21" t="s">
        <v>952</v>
      </c>
    </row>
    <row r="22" spans="1:12" ht="15" customHeight="1">
      <c r="A22" t="s">
        <v>983</v>
      </c>
      <c r="B22" s="2">
        <v>46044</v>
      </c>
      <c r="C22" t="s">
        <v>499</v>
      </c>
      <c r="D22" t="s">
        <v>89</v>
      </c>
      <c r="E22">
        <v>2</v>
      </c>
      <c r="F22" s="1">
        <v>79</v>
      </c>
      <c r="G22" s="8">
        <v>0</v>
      </c>
      <c r="H22" t="s">
        <v>404</v>
      </c>
      <c r="I22" t="s">
        <v>959</v>
      </c>
      <c r="J22" t="s">
        <v>951</v>
      </c>
      <c r="K22" t="s">
        <v>955</v>
      </c>
    </row>
    <row r="23" spans="1:12" ht="15" customHeight="1">
      <c r="A23" t="s">
        <v>984</v>
      </c>
      <c r="B23" s="2">
        <v>46045</v>
      </c>
      <c r="C23" t="s">
        <v>503</v>
      </c>
      <c r="D23" t="s">
        <v>91</v>
      </c>
      <c r="E23">
        <v>1</v>
      </c>
      <c r="F23" s="1">
        <v>79</v>
      </c>
      <c r="G23" s="8">
        <v>0</v>
      </c>
      <c r="H23" t="s">
        <v>404</v>
      </c>
      <c r="I23" t="s">
        <v>954</v>
      </c>
      <c r="J23" t="s">
        <v>951</v>
      </c>
      <c r="K23" t="s">
        <v>955</v>
      </c>
    </row>
    <row r="24" spans="1:12" ht="15" customHeight="1">
      <c r="A24" t="s">
        <v>985</v>
      </c>
      <c r="B24" s="2">
        <v>46046</v>
      </c>
      <c r="C24" t="s">
        <v>507</v>
      </c>
      <c r="D24" t="s">
        <v>94</v>
      </c>
      <c r="E24">
        <v>15</v>
      </c>
      <c r="F24" s="1">
        <v>4.5</v>
      </c>
      <c r="G24" s="8">
        <v>0</v>
      </c>
      <c r="H24" t="s">
        <v>411</v>
      </c>
      <c r="I24" t="s">
        <v>950</v>
      </c>
      <c r="J24" t="s">
        <v>951</v>
      </c>
      <c r="K24" t="s">
        <v>962</v>
      </c>
    </row>
    <row r="25" spans="1:12" ht="15" customHeight="1">
      <c r="A25" t="s">
        <v>986</v>
      </c>
      <c r="B25" s="2">
        <v>46047</v>
      </c>
      <c r="C25" t="s">
        <v>509</v>
      </c>
      <c r="D25" t="s">
        <v>99</v>
      </c>
      <c r="E25">
        <v>1</v>
      </c>
      <c r="F25" s="1">
        <v>185</v>
      </c>
      <c r="G25" s="8">
        <v>0</v>
      </c>
      <c r="H25" t="s">
        <v>404</v>
      </c>
      <c r="I25" t="s">
        <v>954</v>
      </c>
      <c r="J25" t="s">
        <v>951</v>
      </c>
      <c r="K25" t="s">
        <v>965</v>
      </c>
    </row>
    <row r="26" spans="1:12" ht="15" customHeight="1">
      <c r="A26" t="s">
        <v>987</v>
      </c>
      <c r="B26" s="2">
        <v>46048</v>
      </c>
      <c r="C26" t="s">
        <v>514</v>
      </c>
      <c r="D26" t="s">
        <v>103</v>
      </c>
      <c r="E26">
        <v>1</v>
      </c>
      <c r="F26" s="1">
        <v>249</v>
      </c>
      <c r="G26" s="8">
        <v>20</v>
      </c>
      <c r="H26" t="s">
        <v>404</v>
      </c>
      <c r="I26" t="s">
        <v>959</v>
      </c>
      <c r="J26" t="s">
        <v>951</v>
      </c>
      <c r="K26" t="s">
        <v>955</v>
      </c>
    </row>
    <row r="27" spans="1:12" ht="15" customHeight="1">
      <c r="A27" t="s">
        <v>988</v>
      </c>
      <c r="B27" s="2">
        <v>46049</v>
      </c>
      <c r="C27" t="s">
        <v>519</v>
      </c>
      <c r="D27" t="s">
        <v>106</v>
      </c>
      <c r="E27">
        <v>2</v>
      </c>
      <c r="F27" s="1">
        <v>245</v>
      </c>
      <c r="G27" s="8">
        <v>0</v>
      </c>
      <c r="H27" t="s">
        <v>536</v>
      </c>
      <c r="I27" t="s">
        <v>950</v>
      </c>
      <c r="J27" t="s">
        <v>951</v>
      </c>
      <c r="K27" t="s">
        <v>957</v>
      </c>
    </row>
    <row r="28" spans="1:12" ht="15" customHeight="1">
      <c r="A28" t="s">
        <v>989</v>
      </c>
      <c r="B28" s="2">
        <v>46050</v>
      </c>
      <c r="C28" t="s">
        <v>523</v>
      </c>
      <c r="D28" t="s">
        <v>108</v>
      </c>
      <c r="E28">
        <v>2</v>
      </c>
      <c r="F28" s="1">
        <v>245</v>
      </c>
      <c r="G28" s="8">
        <v>0</v>
      </c>
      <c r="H28" t="s">
        <v>404</v>
      </c>
      <c r="I28" t="s">
        <v>954</v>
      </c>
      <c r="J28" t="s">
        <v>951</v>
      </c>
      <c r="K28" t="s">
        <v>955</v>
      </c>
    </row>
    <row r="29" spans="1:12" ht="15" customHeight="1">
      <c r="A29" t="s">
        <v>990</v>
      </c>
      <c r="B29" s="2">
        <v>46051</v>
      </c>
      <c r="C29" t="s">
        <v>527</v>
      </c>
      <c r="D29" t="s">
        <v>112</v>
      </c>
      <c r="E29">
        <v>1</v>
      </c>
      <c r="F29" s="1">
        <v>320</v>
      </c>
      <c r="G29" s="8">
        <v>0</v>
      </c>
      <c r="H29" t="s">
        <v>404</v>
      </c>
      <c r="I29" t="s">
        <v>950</v>
      </c>
      <c r="J29" t="s">
        <v>991</v>
      </c>
      <c r="K29" t="s">
        <v>965</v>
      </c>
      <c r="L29" t="s">
        <v>992</v>
      </c>
    </row>
    <row r="30" spans="1:12" ht="15" customHeight="1">
      <c r="A30" t="s">
        <v>993</v>
      </c>
      <c r="B30" s="2">
        <v>46052</v>
      </c>
      <c r="C30" t="s">
        <v>531</v>
      </c>
      <c r="D30" t="s">
        <v>115</v>
      </c>
      <c r="E30">
        <v>1</v>
      </c>
      <c r="F30" s="1">
        <v>699</v>
      </c>
      <c r="G30" s="8">
        <v>0</v>
      </c>
      <c r="H30" t="s">
        <v>411</v>
      </c>
      <c r="I30" t="s">
        <v>959</v>
      </c>
      <c r="J30" t="s">
        <v>951</v>
      </c>
      <c r="K30" t="s">
        <v>952</v>
      </c>
    </row>
    <row r="31" spans="1:12" ht="15" customHeight="1">
      <c r="A31" t="s">
        <v>994</v>
      </c>
      <c r="B31" s="2">
        <v>46053</v>
      </c>
      <c r="C31" t="s">
        <v>537</v>
      </c>
      <c r="D31" t="s">
        <v>126</v>
      </c>
      <c r="E31">
        <v>1</v>
      </c>
      <c r="F31" s="1">
        <v>649</v>
      </c>
      <c r="G31" s="8">
        <v>0</v>
      </c>
      <c r="H31" t="s">
        <v>404</v>
      </c>
      <c r="I31" t="s">
        <v>954</v>
      </c>
      <c r="J31" t="s">
        <v>951</v>
      </c>
      <c r="K31" t="s">
        <v>955</v>
      </c>
      <c r="L31" t="s">
        <v>995</v>
      </c>
    </row>
    <row r="32" spans="1:12" ht="15" customHeight="1">
      <c r="A32" t="s">
        <v>996</v>
      </c>
      <c r="B32" s="2">
        <v>46054</v>
      </c>
      <c r="C32" t="s">
        <v>997</v>
      </c>
      <c r="D32" t="s">
        <v>11</v>
      </c>
      <c r="E32">
        <v>1</v>
      </c>
      <c r="F32" s="1">
        <v>180</v>
      </c>
      <c r="G32" s="8">
        <v>0</v>
      </c>
      <c r="H32" t="s">
        <v>404</v>
      </c>
      <c r="I32" t="s">
        <v>950</v>
      </c>
      <c r="J32" t="s">
        <v>951</v>
      </c>
      <c r="K32" t="s">
        <v>955</v>
      </c>
      <c r="L32" t="s">
        <v>998</v>
      </c>
    </row>
    <row r="33" spans="1:12" ht="15" customHeight="1">
      <c r="A33" t="s">
        <v>999</v>
      </c>
      <c r="B33" s="2">
        <v>46055</v>
      </c>
      <c r="C33" t="s">
        <v>399</v>
      </c>
      <c r="D33" t="s">
        <v>1000</v>
      </c>
      <c r="E33">
        <v>2</v>
      </c>
      <c r="F33" s="1">
        <v>50</v>
      </c>
      <c r="G33" s="8">
        <v>0</v>
      </c>
      <c r="H33" t="s">
        <v>404</v>
      </c>
      <c r="I33" t="s">
        <v>954</v>
      </c>
      <c r="J33" t="s">
        <v>951</v>
      </c>
      <c r="K33" t="s">
        <v>955</v>
      </c>
      <c r="L33" t="s">
        <v>1001</v>
      </c>
    </row>
    <row r="34" spans="1:12" ht="15" customHeight="1">
      <c r="A34" t="s">
        <v>1002</v>
      </c>
      <c r="B34" s="2">
        <v>46056</v>
      </c>
      <c r="C34" t="s">
        <v>424</v>
      </c>
      <c r="D34" t="s">
        <v>26</v>
      </c>
      <c r="E34">
        <v>1</v>
      </c>
      <c r="F34" s="1">
        <v>850</v>
      </c>
      <c r="G34" s="8">
        <v>100</v>
      </c>
      <c r="H34" t="s">
        <v>404</v>
      </c>
      <c r="I34" t="s">
        <v>959</v>
      </c>
      <c r="J34" t="s">
        <v>951</v>
      </c>
      <c r="K34" t="s">
        <v>955</v>
      </c>
      <c r="L34" t="s">
        <v>1003</v>
      </c>
    </row>
    <row r="35" spans="1:12" ht="15" customHeight="1">
      <c r="A35" t="s">
        <v>1004</v>
      </c>
      <c r="B35" s="2">
        <v>46057</v>
      </c>
      <c r="C35" t="s">
        <v>399</v>
      </c>
      <c r="D35" t="s">
        <v>11</v>
      </c>
      <c r="E35">
        <v>2</v>
      </c>
      <c r="F35" s="1">
        <v>180</v>
      </c>
      <c r="G35" s="8">
        <v>0</v>
      </c>
      <c r="H35" t="s">
        <v>404</v>
      </c>
      <c r="I35" t="s">
        <v>950</v>
      </c>
      <c r="J35" t="s">
        <v>951</v>
      </c>
      <c r="K35" t="s">
        <v>957</v>
      </c>
    </row>
    <row r="36" spans="1:12" ht="15" customHeight="1">
      <c r="A36" t="s">
        <v>1005</v>
      </c>
      <c r="B36" s="2">
        <v>46057</v>
      </c>
      <c r="C36" t="s">
        <v>399</v>
      </c>
      <c r="D36" t="s">
        <v>11</v>
      </c>
      <c r="E36">
        <v>2</v>
      </c>
      <c r="F36" s="1">
        <v>180</v>
      </c>
      <c r="G36" s="8">
        <v>0</v>
      </c>
      <c r="H36" t="s">
        <v>404</v>
      </c>
      <c r="I36" t="s">
        <v>950</v>
      </c>
      <c r="J36" t="s">
        <v>951</v>
      </c>
      <c r="K36" t="s">
        <v>957</v>
      </c>
      <c r="L36" t="s">
        <v>1006</v>
      </c>
    </row>
    <row r="37" spans="1:12" ht="15" customHeight="1">
      <c r="A37" t="s">
        <v>1007</v>
      </c>
      <c r="B37" s="2">
        <v>46058</v>
      </c>
      <c r="C37" t="s">
        <v>448</v>
      </c>
      <c r="D37" t="s">
        <v>76</v>
      </c>
      <c r="E37">
        <v>0</v>
      </c>
      <c r="F37" s="1">
        <v>55</v>
      </c>
      <c r="G37" s="8">
        <v>0</v>
      </c>
      <c r="H37" t="s">
        <v>404</v>
      </c>
      <c r="I37" t="s">
        <v>954</v>
      </c>
      <c r="J37" t="s">
        <v>951</v>
      </c>
      <c r="K37" t="s">
        <v>955</v>
      </c>
      <c r="L37" t="s">
        <v>1008</v>
      </c>
    </row>
    <row r="38" spans="1:12" ht="15" customHeight="1">
      <c r="A38" t="s">
        <v>1009</v>
      </c>
      <c r="B38" s="2">
        <v>46059</v>
      </c>
      <c r="C38" t="s">
        <v>457</v>
      </c>
      <c r="D38" t="s">
        <v>80</v>
      </c>
      <c r="E38">
        <v>3</v>
      </c>
      <c r="F38" s="1">
        <v>80</v>
      </c>
      <c r="G38" s="8">
        <v>0</v>
      </c>
      <c r="H38" t="s">
        <v>536</v>
      </c>
      <c r="I38" t="s">
        <v>950</v>
      </c>
      <c r="J38" t="s">
        <v>961</v>
      </c>
      <c r="K38" t="s">
        <v>957</v>
      </c>
    </row>
    <row r="39" spans="1:12" ht="15.75" customHeight="1">
      <c r="A39" t="s">
        <v>1010</v>
      </c>
      <c r="B39" s="2">
        <v>46060</v>
      </c>
      <c r="C39" t="s">
        <v>468</v>
      </c>
      <c r="D39" t="s">
        <v>192</v>
      </c>
      <c r="E39">
        <v>1</v>
      </c>
      <c r="F39" s="1">
        <v>850</v>
      </c>
      <c r="G39" s="8">
        <v>0</v>
      </c>
      <c r="H39" t="s">
        <v>404</v>
      </c>
      <c r="I39" t="s">
        <v>959</v>
      </c>
      <c r="J39" t="s">
        <v>951</v>
      </c>
      <c r="K39" t="s">
        <v>955</v>
      </c>
      <c r="L39" s="9" t="s">
        <v>194</v>
      </c>
    </row>
    <row r="40" spans="1:12" ht="15" customHeight="1">
      <c r="A40" t="s">
        <v>1011</v>
      </c>
      <c r="B40" s="2">
        <v>46402</v>
      </c>
      <c r="C40" t="s">
        <v>487</v>
      </c>
      <c r="D40" t="s">
        <v>106</v>
      </c>
      <c r="E40">
        <v>1</v>
      </c>
      <c r="F40" s="1">
        <v>245</v>
      </c>
      <c r="G40" s="8">
        <v>0</v>
      </c>
      <c r="H40" t="s">
        <v>404</v>
      </c>
      <c r="I40" t="s">
        <v>954</v>
      </c>
      <c r="J40" t="s">
        <v>951</v>
      </c>
      <c r="K40" t="s">
        <v>955</v>
      </c>
      <c r="L40" t="s">
        <v>1012</v>
      </c>
    </row>
    <row r="41" spans="1:12" ht="15" customHeight="1">
      <c r="A41" t="s">
        <v>1013</v>
      </c>
      <c r="B41" s="2">
        <v>46061</v>
      </c>
      <c r="C41" t="s">
        <v>412</v>
      </c>
      <c r="D41" t="s">
        <v>22</v>
      </c>
      <c r="E41">
        <v>4</v>
      </c>
      <c r="F41" s="1">
        <v>25</v>
      </c>
      <c r="G41" s="8">
        <v>5</v>
      </c>
      <c r="H41" t="s">
        <v>411</v>
      </c>
      <c r="I41" t="s">
        <v>950</v>
      </c>
      <c r="J41" t="s">
        <v>951</v>
      </c>
      <c r="K41" t="s">
        <v>962</v>
      </c>
    </row>
    <row r="42" spans="1:12" ht="15" customHeight="1">
      <c r="A42" t="s">
        <v>1014</v>
      </c>
      <c r="B42" s="2">
        <v>46062</v>
      </c>
      <c r="C42" t="s">
        <v>541</v>
      </c>
      <c r="D42" t="s">
        <v>121</v>
      </c>
      <c r="E42">
        <v>2</v>
      </c>
      <c r="F42" s="1">
        <v>699</v>
      </c>
      <c r="G42" s="8">
        <v>10</v>
      </c>
      <c r="H42" t="s">
        <v>404</v>
      </c>
      <c r="I42" t="s">
        <v>1015</v>
      </c>
      <c r="J42" t="s">
        <v>951</v>
      </c>
      <c r="K42" t="s">
        <v>957</v>
      </c>
    </row>
    <row r="43" spans="1:12" ht="15" customHeight="1">
      <c r="A43" t="s">
        <v>1016</v>
      </c>
      <c r="B43" s="2">
        <v>46063</v>
      </c>
      <c r="C43" t="s">
        <v>545</v>
      </c>
      <c r="D43" t="s">
        <v>126</v>
      </c>
      <c r="E43">
        <v>1</v>
      </c>
      <c r="F43" s="1">
        <v>649</v>
      </c>
      <c r="G43" s="8">
        <v>15</v>
      </c>
      <c r="H43" t="s">
        <v>536</v>
      </c>
      <c r="I43" t="s">
        <v>1017</v>
      </c>
      <c r="J43" t="s">
        <v>951</v>
      </c>
      <c r="K43" t="s">
        <v>955</v>
      </c>
    </row>
    <row r="44" spans="1:12" ht="15" customHeight="1">
      <c r="A44" t="s">
        <v>1018</v>
      </c>
      <c r="B44" s="2">
        <v>46064</v>
      </c>
      <c r="C44" t="s">
        <v>549</v>
      </c>
      <c r="D44" t="s">
        <v>129</v>
      </c>
      <c r="E44">
        <v>3</v>
      </c>
      <c r="F44" s="1">
        <v>699</v>
      </c>
      <c r="G44" s="8">
        <v>0</v>
      </c>
      <c r="H44" t="s">
        <v>411</v>
      </c>
      <c r="I44" t="s">
        <v>1019</v>
      </c>
      <c r="J44" t="s">
        <v>951</v>
      </c>
      <c r="K44" t="s">
        <v>952</v>
      </c>
    </row>
    <row r="45" spans="1:12" ht="15" customHeight="1">
      <c r="A45" t="s">
        <v>1020</v>
      </c>
      <c r="B45" s="2">
        <v>46065</v>
      </c>
      <c r="C45" t="s">
        <v>554</v>
      </c>
      <c r="D45" t="s">
        <v>133</v>
      </c>
      <c r="E45">
        <v>5</v>
      </c>
      <c r="F45" s="1">
        <v>39</v>
      </c>
      <c r="G45" s="8">
        <v>5</v>
      </c>
      <c r="H45" t="s">
        <v>1021</v>
      </c>
      <c r="I45" t="s">
        <v>1015</v>
      </c>
      <c r="J45" t="s">
        <v>951</v>
      </c>
      <c r="K45" t="s">
        <v>965</v>
      </c>
    </row>
    <row r="46" spans="1:12" ht="15" customHeight="1">
      <c r="A46" t="s">
        <v>1022</v>
      </c>
      <c r="B46" s="2">
        <v>46066</v>
      </c>
      <c r="C46" t="s">
        <v>559</v>
      </c>
      <c r="D46" t="s">
        <v>137</v>
      </c>
      <c r="E46">
        <v>1</v>
      </c>
      <c r="F46" s="1">
        <v>39</v>
      </c>
      <c r="G46" s="8">
        <v>0</v>
      </c>
      <c r="H46" t="s">
        <v>404</v>
      </c>
      <c r="I46" t="s">
        <v>950</v>
      </c>
      <c r="J46" t="s">
        <v>951</v>
      </c>
      <c r="K46" t="s">
        <v>957</v>
      </c>
    </row>
    <row r="47" spans="1:12" ht="15" customHeight="1">
      <c r="A47" t="s">
        <v>1023</v>
      </c>
      <c r="B47" s="2">
        <v>46067</v>
      </c>
      <c r="C47" t="s">
        <v>563</v>
      </c>
      <c r="D47" t="s">
        <v>141</v>
      </c>
      <c r="E47">
        <v>2</v>
      </c>
      <c r="F47" s="1">
        <v>22</v>
      </c>
      <c r="G47" s="8">
        <v>0</v>
      </c>
      <c r="H47" t="s">
        <v>396</v>
      </c>
      <c r="I47" t="s">
        <v>954</v>
      </c>
      <c r="J47" t="s">
        <v>991</v>
      </c>
      <c r="K47" t="s">
        <v>962</v>
      </c>
    </row>
    <row r="48" spans="1:12" ht="15" customHeight="1">
      <c r="A48" t="s">
        <v>1024</v>
      </c>
      <c r="B48" s="2">
        <v>46068</v>
      </c>
      <c r="C48" t="s">
        <v>567</v>
      </c>
      <c r="D48" t="s">
        <v>143</v>
      </c>
      <c r="E48">
        <v>1</v>
      </c>
      <c r="F48" s="1">
        <v>34</v>
      </c>
      <c r="G48" s="8">
        <v>0</v>
      </c>
      <c r="H48" t="s">
        <v>395</v>
      </c>
      <c r="I48" t="s">
        <v>959</v>
      </c>
      <c r="J48" t="s">
        <v>951</v>
      </c>
      <c r="K48" t="s">
        <v>955</v>
      </c>
    </row>
    <row r="49" spans="1:12" ht="15" customHeight="1">
      <c r="A49" t="s">
        <v>1025</v>
      </c>
      <c r="B49" s="2">
        <v>46069</v>
      </c>
      <c r="C49" t="s">
        <v>571</v>
      </c>
      <c r="D49" t="s">
        <v>147</v>
      </c>
      <c r="E49">
        <v>1</v>
      </c>
      <c r="F49" s="1">
        <v>149</v>
      </c>
      <c r="G49" s="8">
        <v>25</v>
      </c>
      <c r="H49" t="s">
        <v>1026</v>
      </c>
      <c r="I49" t="s">
        <v>1017</v>
      </c>
      <c r="J49" t="s">
        <v>951</v>
      </c>
      <c r="K49" t="s">
        <v>965</v>
      </c>
    </row>
    <row r="50" spans="1:12" ht="15" customHeight="1">
      <c r="A50" t="s">
        <v>1027</v>
      </c>
      <c r="B50" s="2">
        <v>46070</v>
      </c>
      <c r="C50" t="s">
        <v>575</v>
      </c>
      <c r="D50" t="s">
        <v>150</v>
      </c>
      <c r="E50">
        <v>1</v>
      </c>
      <c r="F50" s="1">
        <v>590</v>
      </c>
      <c r="G50" s="8">
        <v>0</v>
      </c>
      <c r="H50" t="s">
        <v>404</v>
      </c>
      <c r="I50" t="s">
        <v>969</v>
      </c>
      <c r="J50" t="s">
        <v>951</v>
      </c>
      <c r="K50" t="s">
        <v>952</v>
      </c>
    </row>
    <row r="51" spans="1:12" ht="15" customHeight="1">
      <c r="A51" t="s">
        <v>1028</v>
      </c>
      <c r="B51" s="2">
        <v>46071</v>
      </c>
      <c r="C51" t="s">
        <v>579</v>
      </c>
      <c r="D51" t="s">
        <v>154</v>
      </c>
      <c r="E51">
        <v>1</v>
      </c>
      <c r="F51" s="1">
        <v>170</v>
      </c>
      <c r="G51" s="8">
        <v>0</v>
      </c>
      <c r="H51" t="s">
        <v>536</v>
      </c>
      <c r="I51" t="s">
        <v>981</v>
      </c>
      <c r="J51" t="s">
        <v>951</v>
      </c>
      <c r="K51" t="s">
        <v>957</v>
      </c>
    </row>
    <row r="52" spans="1:12" ht="15" customHeight="1">
      <c r="A52" t="s">
        <v>1029</v>
      </c>
      <c r="B52" s="2">
        <v>46072</v>
      </c>
      <c r="C52" t="s">
        <v>583</v>
      </c>
      <c r="D52" t="s">
        <v>156</v>
      </c>
      <c r="E52">
        <v>2</v>
      </c>
      <c r="F52" s="1">
        <v>149</v>
      </c>
      <c r="G52" s="8">
        <v>0</v>
      </c>
      <c r="H52" t="s">
        <v>404</v>
      </c>
      <c r="I52" t="s">
        <v>950</v>
      </c>
      <c r="J52" t="s">
        <v>951</v>
      </c>
      <c r="K52" t="s">
        <v>955</v>
      </c>
    </row>
    <row r="53" spans="1:12" ht="15" customHeight="1">
      <c r="A53" t="s">
        <v>1030</v>
      </c>
      <c r="B53" s="2">
        <v>46073</v>
      </c>
      <c r="C53" t="s">
        <v>587</v>
      </c>
      <c r="D53" t="s">
        <v>159</v>
      </c>
      <c r="E53">
        <v>1</v>
      </c>
      <c r="F53" s="1">
        <v>590</v>
      </c>
      <c r="G53" s="8">
        <v>10</v>
      </c>
      <c r="H53" t="s">
        <v>536</v>
      </c>
      <c r="I53" t="s">
        <v>954</v>
      </c>
      <c r="J53" t="s">
        <v>951</v>
      </c>
      <c r="K53" t="s">
        <v>957</v>
      </c>
    </row>
    <row r="54" spans="1:12" ht="15" customHeight="1">
      <c r="A54" t="s">
        <v>1031</v>
      </c>
      <c r="B54" s="2">
        <v>46074</v>
      </c>
      <c r="C54" t="s">
        <v>591</v>
      </c>
      <c r="D54" t="s">
        <v>163</v>
      </c>
      <c r="E54">
        <v>1</v>
      </c>
      <c r="F54" s="1">
        <v>590</v>
      </c>
      <c r="G54" s="8">
        <v>0</v>
      </c>
      <c r="H54" t="s">
        <v>411</v>
      </c>
      <c r="I54" t="s">
        <v>959</v>
      </c>
      <c r="J54" t="s">
        <v>951</v>
      </c>
      <c r="K54" t="s">
        <v>962</v>
      </c>
    </row>
    <row r="55" spans="1:12" ht="15" customHeight="1">
      <c r="A55" t="s">
        <v>1032</v>
      </c>
      <c r="B55" s="2">
        <v>46075</v>
      </c>
      <c r="C55" t="s">
        <v>594</v>
      </c>
      <c r="D55" t="s">
        <v>167</v>
      </c>
      <c r="E55">
        <v>2</v>
      </c>
      <c r="F55" s="1">
        <v>170</v>
      </c>
      <c r="G55" s="8">
        <v>5</v>
      </c>
      <c r="H55" t="s">
        <v>404</v>
      </c>
      <c r="I55" t="s">
        <v>1015</v>
      </c>
      <c r="J55" t="s">
        <v>951</v>
      </c>
      <c r="K55" t="s">
        <v>965</v>
      </c>
    </row>
    <row r="56" spans="1:12" ht="15" customHeight="1">
      <c r="A56" t="s">
        <v>1033</v>
      </c>
      <c r="B56" s="2">
        <v>46076</v>
      </c>
      <c r="C56" t="s">
        <v>598</v>
      </c>
      <c r="D56" t="s">
        <v>170</v>
      </c>
      <c r="E56">
        <v>1</v>
      </c>
      <c r="F56" s="1">
        <v>170</v>
      </c>
      <c r="G56" s="8">
        <v>0</v>
      </c>
      <c r="H56" t="s">
        <v>404</v>
      </c>
      <c r="I56" t="s">
        <v>1017</v>
      </c>
      <c r="J56" t="s">
        <v>951</v>
      </c>
      <c r="K56" t="s">
        <v>955</v>
      </c>
    </row>
    <row r="57" spans="1:12" ht="15" customHeight="1">
      <c r="A57" t="s">
        <v>1034</v>
      </c>
      <c r="B57" s="2">
        <v>46077</v>
      </c>
      <c r="C57" t="s">
        <v>602</v>
      </c>
      <c r="D57" t="s">
        <v>174</v>
      </c>
      <c r="E57">
        <v>5</v>
      </c>
      <c r="F57" s="1">
        <v>99</v>
      </c>
      <c r="G57" s="8">
        <v>0</v>
      </c>
      <c r="H57" t="s">
        <v>536</v>
      </c>
      <c r="I57" t="s">
        <v>950</v>
      </c>
      <c r="J57" t="s">
        <v>951</v>
      </c>
      <c r="K57" t="s">
        <v>957</v>
      </c>
    </row>
    <row r="58" spans="1:12" ht="15" customHeight="1">
      <c r="A58" t="s">
        <v>1035</v>
      </c>
      <c r="B58" s="2">
        <v>46078</v>
      </c>
      <c r="C58" t="s">
        <v>605</v>
      </c>
      <c r="D58" t="s">
        <v>181</v>
      </c>
      <c r="E58">
        <v>2</v>
      </c>
      <c r="F58" s="1">
        <v>99</v>
      </c>
      <c r="G58" s="8">
        <v>0</v>
      </c>
      <c r="H58" t="s">
        <v>404</v>
      </c>
      <c r="I58" t="s">
        <v>954</v>
      </c>
      <c r="J58" t="s">
        <v>951</v>
      </c>
      <c r="K58" t="s">
        <v>955</v>
      </c>
    </row>
    <row r="59" spans="1:12" ht="15" customHeight="1">
      <c r="A59" t="s">
        <v>1036</v>
      </c>
      <c r="B59" s="2">
        <v>46079</v>
      </c>
      <c r="C59" t="s">
        <v>608</v>
      </c>
      <c r="D59" t="s">
        <v>184</v>
      </c>
      <c r="E59">
        <v>3</v>
      </c>
      <c r="F59" s="1">
        <v>45</v>
      </c>
      <c r="G59" s="8">
        <v>15</v>
      </c>
      <c r="H59" t="s">
        <v>411</v>
      </c>
      <c r="I59" t="s">
        <v>1019</v>
      </c>
      <c r="J59" t="s">
        <v>951</v>
      </c>
      <c r="K59" t="s">
        <v>952</v>
      </c>
    </row>
    <row r="60" spans="1:12" ht="15" customHeight="1">
      <c r="A60" t="s">
        <v>1037</v>
      </c>
      <c r="B60" s="2">
        <v>46080</v>
      </c>
      <c r="C60" t="s">
        <v>612</v>
      </c>
      <c r="D60" t="s">
        <v>188</v>
      </c>
      <c r="E60">
        <v>1</v>
      </c>
      <c r="F60" s="1">
        <v>45</v>
      </c>
      <c r="G60" s="8">
        <v>0</v>
      </c>
      <c r="H60" t="s">
        <v>1026</v>
      </c>
      <c r="I60" t="s">
        <v>959</v>
      </c>
      <c r="J60" t="s">
        <v>951</v>
      </c>
      <c r="K60" t="s">
        <v>965</v>
      </c>
    </row>
    <row r="61" spans="1:12" ht="15" customHeight="1">
      <c r="A61" t="s">
        <v>1038</v>
      </c>
      <c r="B61" s="2">
        <v>46081</v>
      </c>
      <c r="C61" t="s">
        <v>615</v>
      </c>
      <c r="D61" t="s">
        <v>192</v>
      </c>
      <c r="E61">
        <v>1</v>
      </c>
      <c r="F61" s="1">
        <v>850</v>
      </c>
      <c r="G61" s="8">
        <v>0</v>
      </c>
      <c r="H61" t="s">
        <v>404</v>
      </c>
      <c r="I61" t="s">
        <v>969</v>
      </c>
      <c r="J61" t="s">
        <v>951</v>
      </c>
      <c r="K61" t="s">
        <v>955</v>
      </c>
      <c r="L61" t="s">
        <v>194</v>
      </c>
    </row>
    <row r="62" spans="1:12" ht="15" customHeight="1">
      <c r="A62" t="s">
        <v>1039</v>
      </c>
      <c r="B62" s="2">
        <v>46082</v>
      </c>
      <c r="C62" t="s">
        <v>619</v>
      </c>
      <c r="D62" t="s">
        <v>195</v>
      </c>
      <c r="E62">
        <v>4</v>
      </c>
      <c r="F62" s="1">
        <v>19.899999999999999</v>
      </c>
      <c r="G62" s="8">
        <v>0</v>
      </c>
      <c r="H62" t="s">
        <v>404</v>
      </c>
      <c r="I62" t="s">
        <v>954</v>
      </c>
      <c r="J62" t="s">
        <v>951</v>
      </c>
      <c r="K62" t="s">
        <v>957</v>
      </c>
    </row>
    <row r="63" spans="1:12" ht="15" customHeight="1">
      <c r="A63" t="s">
        <v>1040</v>
      </c>
      <c r="B63" s="2">
        <v>46083</v>
      </c>
      <c r="C63" t="s">
        <v>623</v>
      </c>
      <c r="D63" t="s">
        <v>199</v>
      </c>
      <c r="E63">
        <v>4</v>
      </c>
      <c r="F63" s="1">
        <v>19.899999999999999</v>
      </c>
      <c r="G63" s="8">
        <v>0</v>
      </c>
      <c r="H63" t="s">
        <v>536</v>
      </c>
      <c r="I63" t="s">
        <v>950</v>
      </c>
      <c r="J63" t="s">
        <v>951</v>
      </c>
      <c r="K63" t="s">
        <v>957</v>
      </c>
    </row>
    <row r="64" spans="1:12" ht="15" customHeight="1">
      <c r="A64" t="s">
        <v>1041</v>
      </c>
      <c r="B64" s="2">
        <v>46084</v>
      </c>
      <c r="C64" t="s">
        <v>627</v>
      </c>
      <c r="D64" t="s">
        <v>203</v>
      </c>
      <c r="E64">
        <v>2</v>
      </c>
      <c r="F64" s="1">
        <v>89</v>
      </c>
      <c r="G64" s="8">
        <v>5</v>
      </c>
      <c r="H64" t="s">
        <v>411</v>
      </c>
      <c r="I64" t="s">
        <v>1017</v>
      </c>
      <c r="J64" t="s">
        <v>951</v>
      </c>
      <c r="K64" t="s">
        <v>962</v>
      </c>
    </row>
    <row r="65" spans="1:11" ht="15" customHeight="1">
      <c r="A65" t="s">
        <v>1042</v>
      </c>
      <c r="B65" s="2">
        <v>46085</v>
      </c>
      <c r="C65" t="s">
        <v>631</v>
      </c>
      <c r="D65" t="s">
        <v>207</v>
      </c>
      <c r="E65">
        <v>2</v>
      </c>
      <c r="F65" s="1">
        <v>89</v>
      </c>
      <c r="G65" s="8">
        <v>5</v>
      </c>
      <c r="H65" t="s">
        <v>404</v>
      </c>
      <c r="I65" t="s">
        <v>1015</v>
      </c>
      <c r="J65" t="s">
        <v>951</v>
      </c>
      <c r="K65" t="s">
        <v>955</v>
      </c>
    </row>
    <row r="66" spans="1:11" ht="15" customHeight="1">
      <c r="A66" t="s">
        <v>1043</v>
      </c>
      <c r="B66" s="2">
        <v>46086</v>
      </c>
      <c r="C66" t="s">
        <v>635</v>
      </c>
      <c r="D66" t="s">
        <v>211</v>
      </c>
      <c r="E66">
        <v>1</v>
      </c>
      <c r="F66" s="1">
        <v>95</v>
      </c>
      <c r="G66" s="8">
        <v>0</v>
      </c>
      <c r="H66" t="s">
        <v>1021</v>
      </c>
      <c r="I66" t="s">
        <v>981</v>
      </c>
      <c r="J66" t="s">
        <v>951</v>
      </c>
      <c r="K66" t="s">
        <v>957</v>
      </c>
    </row>
    <row r="67" spans="1:11" ht="15" customHeight="1">
      <c r="A67" t="s">
        <v>1044</v>
      </c>
      <c r="B67" s="2">
        <v>46087</v>
      </c>
      <c r="C67" t="s">
        <v>637</v>
      </c>
      <c r="D67" t="s">
        <v>214</v>
      </c>
      <c r="E67">
        <v>2</v>
      </c>
      <c r="F67" s="1">
        <v>95</v>
      </c>
      <c r="G67" s="8">
        <v>0</v>
      </c>
      <c r="H67" t="s">
        <v>404</v>
      </c>
      <c r="I67" t="s">
        <v>950</v>
      </c>
      <c r="J67" t="s">
        <v>961</v>
      </c>
      <c r="K67" t="s">
        <v>955</v>
      </c>
    </row>
    <row r="68" spans="1:11" ht="15" customHeight="1">
      <c r="A68" t="s">
        <v>1045</v>
      </c>
      <c r="B68" s="2">
        <v>46088</v>
      </c>
      <c r="C68" t="s">
        <v>640</v>
      </c>
      <c r="D68" t="s">
        <v>218</v>
      </c>
      <c r="E68">
        <v>1</v>
      </c>
      <c r="F68" s="1">
        <v>320</v>
      </c>
      <c r="G68" s="8">
        <v>0</v>
      </c>
      <c r="H68" t="s">
        <v>536</v>
      </c>
      <c r="I68" t="s">
        <v>954</v>
      </c>
      <c r="J68" t="s">
        <v>951</v>
      </c>
      <c r="K68" t="s">
        <v>965</v>
      </c>
    </row>
    <row r="69" spans="1:11" ht="15" customHeight="1">
      <c r="A69" t="s">
        <v>1046</v>
      </c>
      <c r="B69" s="2">
        <v>46089</v>
      </c>
      <c r="C69" t="s">
        <v>644</v>
      </c>
      <c r="D69" t="s">
        <v>222</v>
      </c>
      <c r="E69">
        <v>1</v>
      </c>
      <c r="F69" s="1">
        <v>320</v>
      </c>
      <c r="G69" s="8">
        <v>0</v>
      </c>
      <c r="H69" t="s">
        <v>404</v>
      </c>
      <c r="I69" t="s">
        <v>959</v>
      </c>
      <c r="J69" t="s">
        <v>951</v>
      </c>
      <c r="K69" t="s">
        <v>955</v>
      </c>
    </row>
    <row r="70" spans="1:11" ht="15" customHeight="1">
      <c r="A70" t="s">
        <v>1047</v>
      </c>
      <c r="B70" s="2">
        <v>46090</v>
      </c>
      <c r="C70" t="s">
        <v>647</v>
      </c>
      <c r="D70" t="s">
        <v>225</v>
      </c>
      <c r="E70">
        <v>2</v>
      </c>
      <c r="F70" s="1">
        <v>420</v>
      </c>
      <c r="G70" s="8">
        <v>10</v>
      </c>
      <c r="H70" t="s">
        <v>396</v>
      </c>
      <c r="I70" t="s">
        <v>1017</v>
      </c>
      <c r="J70" t="s">
        <v>951</v>
      </c>
      <c r="K70" t="s">
        <v>962</v>
      </c>
    </row>
    <row r="71" spans="1:11" ht="15" customHeight="1">
      <c r="A71" t="s">
        <v>1048</v>
      </c>
      <c r="B71" s="2">
        <v>46091</v>
      </c>
      <c r="C71" t="s">
        <v>650</v>
      </c>
      <c r="D71" t="s">
        <v>227</v>
      </c>
      <c r="E71">
        <v>2</v>
      </c>
      <c r="F71" s="1">
        <v>420</v>
      </c>
      <c r="G71" s="8">
        <v>10</v>
      </c>
      <c r="H71" t="s">
        <v>396</v>
      </c>
      <c r="I71" t="s">
        <v>1017</v>
      </c>
      <c r="J71" t="s">
        <v>951</v>
      </c>
      <c r="K71" t="s">
        <v>962</v>
      </c>
    </row>
    <row r="72" spans="1:11" ht="15" customHeight="1">
      <c r="A72" t="s">
        <v>1049</v>
      </c>
      <c r="B72" s="2">
        <v>46092</v>
      </c>
      <c r="C72" t="s">
        <v>654</v>
      </c>
      <c r="D72" t="s">
        <v>230</v>
      </c>
      <c r="E72">
        <v>3</v>
      </c>
      <c r="F72" s="1">
        <v>195</v>
      </c>
      <c r="G72" s="8">
        <v>0</v>
      </c>
      <c r="H72" t="s">
        <v>404</v>
      </c>
      <c r="I72" t="s">
        <v>950</v>
      </c>
      <c r="J72" t="s">
        <v>951</v>
      </c>
      <c r="K72" t="s">
        <v>957</v>
      </c>
    </row>
    <row r="73" spans="1:11" ht="15" customHeight="1">
      <c r="A73" t="s">
        <v>1050</v>
      </c>
      <c r="B73" s="2">
        <v>46093</v>
      </c>
      <c r="C73" t="s">
        <v>657</v>
      </c>
      <c r="D73" t="s">
        <v>232</v>
      </c>
      <c r="E73">
        <v>3</v>
      </c>
      <c r="F73" s="1">
        <v>195</v>
      </c>
      <c r="G73" s="8">
        <v>0</v>
      </c>
      <c r="H73" t="s">
        <v>404</v>
      </c>
      <c r="I73" t="s">
        <v>950</v>
      </c>
      <c r="J73" t="s">
        <v>951</v>
      </c>
      <c r="K73" t="s">
        <v>957</v>
      </c>
    </row>
    <row r="74" spans="1:11" ht="15" customHeight="1">
      <c r="A74" t="s">
        <v>1051</v>
      </c>
      <c r="B74" s="2">
        <v>46094</v>
      </c>
      <c r="C74" t="s">
        <v>661</v>
      </c>
      <c r="D74" t="s">
        <v>236</v>
      </c>
      <c r="E74">
        <v>2</v>
      </c>
      <c r="F74" s="1">
        <v>165</v>
      </c>
      <c r="G74" s="8">
        <v>0</v>
      </c>
      <c r="H74" t="s">
        <v>536</v>
      </c>
      <c r="I74" t="s">
        <v>954</v>
      </c>
      <c r="J74" t="s">
        <v>951</v>
      </c>
      <c r="K74" t="s">
        <v>965</v>
      </c>
    </row>
    <row r="75" spans="1:11" ht="15" customHeight="1">
      <c r="A75" t="s">
        <v>1052</v>
      </c>
      <c r="B75" s="2">
        <v>46095</v>
      </c>
      <c r="C75" t="s">
        <v>664</v>
      </c>
      <c r="D75" t="s">
        <v>239</v>
      </c>
      <c r="E75">
        <v>2</v>
      </c>
      <c r="F75" s="1">
        <v>165</v>
      </c>
      <c r="G75" s="8">
        <v>0</v>
      </c>
      <c r="H75" t="s">
        <v>411</v>
      </c>
      <c r="I75" t="s">
        <v>959</v>
      </c>
      <c r="J75" t="s">
        <v>951</v>
      </c>
      <c r="K75" t="s">
        <v>952</v>
      </c>
    </row>
    <row r="76" spans="1:11" ht="15" customHeight="1">
      <c r="A76" t="s">
        <v>1053</v>
      </c>
      <c r="B76" s="2">
        <v>46096</v>
      </c>
      <c r="C76" t="s">
        <v>668</v>
      </c>
      <c r="D76" t="s">
        <v>242</v>
      </c>
      <c r="E76">
        <v>1</v>
      </c>
      <c r="F76" s="1">
        <v>780</v>
      </c>
      <c r="G76" s="8">
        <v>20</v>
      </c>
      <c r="H76" t="s">
        <v>404</v>
      </c>
      <c r="I76" t="s">
        <v>1015</v>
      </c>
      <c r="J76" t="s">
        <v>951</v>
      </c>
      <c r="K76" t="s">
        <v>955</v>
      </c>
    </row>
    <row r="77" spans="1:11" ht="15" customHeight="1">
      <c r="A77" t="s">
        <v>1054</v>
      </c>
      <c r="B77" s="2">
        <v>46097</v>
      </c>
      <c r="C77" t="s">
        <v>672</v>
      </c>
      <c r="D77" t="s">
        <v>245</v>
      </c>
      <c r="E77">
        <v>1</v>
      </c>
      <c r="F77" s="1">
        <v>780</v>
      </c>
      <c r="G77" s="8">
        <v>20</v>
      </c>
      <c r="H77" t="s">
        <v>404</v>
      </c>
      <c r="I77" t="s">
        <v>1015</v>
      </c>
      <c r="J77" t="s">
        <v>951</v>
      </c>
      <c r="K77" t="s">
        <v>955</v>
      </c>
    </row>
    <row r="78" spans="1:11" ht="15" customHeight="1">
      <c r="A78" t="s">
        <v>1055</v>
      </c>
      <c r="B78" s="2">
        <v>46098</v>
      </c>
      <c r="C78" t="s">
        <v>675</v>
      </c>
      <c r="D78" t="s">
        <v>248</v>
      </c>
      <c r="E78">
        <v>5</v>
      </c>
      <c r="F78" s="1">
        <v>89</v>
      </c>
      <c r="G78" s="8">
        <v>0</v>
      </c>
      <c r="H78" t="s">
        <v>536</v>
      </c>
      <c r="I78" t="s">
        <v>1017</v>
      </c>
      <c r="J78" t="s">
        <v>951</v>
      </c>
      <c r="K78" t="s">
        <v>957</v>
      </c>
    </row>
    <row r="79" spans="1:11" ht="15" customHeight="1">
      <c r="A79" t="s">
        <v>1056</v>
      </c>
      <c r="B79" s="2">
        <v>46099</v>
      </c>
      <c r="C79" t="s">
        <v>678</v>
      </c>
      <c r="D79" t="s">
        <v>253</v>
      </c>
      <c r="E79">
        <v>5</v>
      </c>
      <c r="F79" s="1">
        <v>89</v>
      </c>
      <c r="G79" s="8">
        <v>0</v>
      </c>
      <c r="H79" t="s">
        <v>536</v>
      </c>
      <c r="I79" t="s">
        <v>1017</v>
      </c>
      <c r="J79" t="s">
        <v>951</v>
      </c>
      <c r="K79" t="s">
        <v>957</v>
      </c>
    </row>
    <row r="80" spans="1:11" ht="15" customHeight="1">
      <c r="A80" t="s">
        <v>1057</v>
      </c>
      <c r="B80" s="2">
        <v>46100</v>
      </c>
      <c r="C80" t="s">
        <v>680</v>
      </c>
      <c r="D80" t="s">
        <v>257</v>
      </c>
      <c r="E80">
        <v>2</v>
      </c>
      <c r="F80" s="1">
        <v>145</v>
      </c>
      <c r="G80" s="8">
        <v>0</v>
      </c>
      <c r="H80" t="s">
        <v>404</v>
      </c>
      <c r="I80" t="s">
        <v>954</v>
      </c>
      <c r="J80" t="s">
        <v>991</v>
      </c>
      <c r="K80" t="s">
        <v>965</v>
      </c>
    </row>
    <row r="81" spans="1:12" ht="15" customHeight="1">
      <c r="A81" t="s">
        <v>1058</v>
      </c>
      <c r="B81" s="2">
        <v>46101</v>
      </c>
      <c r="C81" t="s">
        <v>683</v>
      </c>
      <c r="D81" t="s">
        <v>259</v>
      </c>
      <c r="E81">
        <v>2</v>
      </c>
      <c r="F81" s="1">
        <v>145</v>
      </c>
      <c r="G81" s="8">
        <v>0</v>
      </c>
      <c r="H81" t="s">
        <v>404</v>
      </c>
      <c r="I81" t="s">
        <v>954</v>
      </c>
      <c r="J81" t="s">
        <v>951</v>
      </c>
      <c r="K81" t="s">
        <v>965</v>
      </c>
    </row>
    <row r="82" spans="1:12" ht="15" customHeight="1">
      <c r="A82" t="s">
        <v>1059</v>
      </c>
      <c r="B82" s="2">
        <v>46102</v>
      </c>
      <c r="C82" t="s">
        <v>686</v>
      </c>
      <c r="D82" t="s">
        <v>262</v>
      </c>
      <c r="E82">
        <v>1</v>
      </c>
      <c r="F82" s="1">
        <v>299</v>
      </c>
      <c r="G82" s="8">
        <v>0</v>
      </c>
      <c r="H82" t="s">
        <v>404</v>
      </c>
      <c r="I82" t="s">
        <v>950</v>
      </c>
      <c r="J82" t="s">
        <v>951</v>
      </c>
      <c r="K82" t="s">
        <v>955</v>
      </c>
      <c r="L82" t="s">
        <v>1060</v>
      </c>
    </row>
    <row r="83" spans="1:12" ht="15" customHeight="1">
      <c r="A83" t="s">
        <v>1061</v>
      </c>
      <c r="B83" s="2">
        <v>46103</v>
      </c>
      <c r="C83" t="s">
        <v>690</v>
      </c>
      <c r="D83" t="s">
        <v>265</v>
      </c>
      <c r="E83">
        <v>1</v>
      </c>
      <c r="F83" s="1">
        <v>299</v>
      </c>
      <c r="G83" s="8">
        <v>0</v>
      </c>
      <c r="H83" t="s">
        <v>404</v>
      </c>
      <c r="I83" t="s">
        <v>950</v>
      </c>
      <c r="J83" t="s">
        <v>951</v>
      </c>
      <c r="K83" t="s">
        <v>955</v>
      </c>
      <c r="L83" t="s">
        <v>1062</v>
      </c>
    </row>
    <row r="84" spans="1:12" ht="15" customHeight="1">
      <c r="A84" t="s">
        <v>1063</v>
      </c>
      <c r="B84" s="2">
        <v>46104</v>
      </c>
      <c r="C84" t="s">
        <v>693</v>
      </c>
      <c r="D84" t="s">
        <v>269</v>
      </c>
      <c r="E84">
        <v>999</v>
      </c>
      <c r="F84" s="1">
        <v>110</v>
      </c>
      <c r="G84" s="8">
        <v>0</v>
      </c>
      <c r="H84" t="s">
        <v>536</v>
      </c>
      <c r="I84" t="s">
        <v>954</v>
      </c>
      <c r="J84" t="s">
        <v>951</v>
      </c>
      <c r="K84" t="s">
        <v>957</v>
      </c>
      <c r="L84" t="s">
        <v>1064</v>
      </c>
    </row>
    <row r="85" spans="1:12" ht="15" customHeight="1">
      <c r="A85" t="s">
        <v>1065</v>
      </c>
      <c r="B85" s="2">
        <v>46105</v>
      </c>
      <c r="C85" t="s">
        <v>697</v>
      </c>
      <c r="D85" t="s">
        <v>273</v>
      </c>
      <c r="E85">
        <v>1</v>
      </c>
      <c r="F85" s="1">
        <v>110</v>
      </c>
      <c r="G85" s="8">
        <v>0</v>
      </c>
      <c r="H85" t="s">
        <v>404</v>
      </c>
      <c r="I85" t="s">
        <v>959</v>
      </c>
      <c r="J85" t="s">
        <v>951</v>
      </c>
      <c r="K85" t="s">
        <v>955</v>
      </c>
      <c r="L85" t="s">
        <v>1066</v>
      </c>
    </row>
    <row r="86" spans="1:12" ht="15" customHeight="1">
      <c r="A86" t="s">
        <v>1067</v>
      </c>
      <c r="B86" s="2">
        <v>46106</v>
      </c>
      <c r="C86" t="s">
        <v>701</v>
      </c>
      <c r="D86" t="s">
        <v>277</v>
      </c>
      <c r="E86">
        <v>2</v>
      </c>
      <c r="F86" s="1">
        <v>45</v>
      </c>
      <c r="G86" s="8">
        <v>0</v>
      </c>
      <c r="H86" t="s">
        <v>411</v>
      </c>
      <c r="I86" t="s">
        <v>1017</v>
      </c>
      <c r="J86" t="s">
        <v>1068</v>
      </c>
      <c r="K86" t="s">
        <v>962</v>
      </c>
    </row>
    <row r="87" spans="1:12" ht="15" customHeight="1">
      <c r="A87" t="s">
        <v>1069</v>
      </c>
      <c r="B87" s="2">
        <v>46107</v>
      </c>
      <c r="C87" t="s">
        <v>705</v>
      </c>
      <c r="D87" t="s">
        <v>280</v>
      </c>
      <c r="E87">
        <v>2</v>
      </c>
      <c r="F87" s="1">
        <v>45</v>
      </c>
      <c r="G87" s="8">
        <v>0</v>
      </c>
      <c r="H87" t="s">
        <v>404</v>
      </c>
      <c r="I87" t="s">
        <v>1015</v>
      </c>
      <c r="J87" t="s">
        <v>951</v>
      </c>
      <c r="K87" t="s">
        <v>965</v>
      </c>
    </row>
    <row r="88" spans="1:12" ht="15" customHeight="1">
      <c r="A88" t="s">
        <v>1070</v>
      </c>
      <c r="B88" s="2">
        <v>46108</v>
      </c>
      <c r="C88" t="s">
        <v>709</v>
      </c>
      <c r="D88" t="s">
        <v>283</v>
      </c>
      <c r="E88">
        <v>1</v>
      </c>
      <c r="F88" s="1">
        <v>189</v>
      </c>
      <c r="G88" s="8">
        <v>0</v>
      </c>
      <c r="H88" t="s">
        <v>404</v>
      </c>
      <c r="I88" t="s">
        <v>954</v>
      </c>
      <c r="J88" t="s">
        <v>951</v>
      </c>
      <c r="K88" t="s">
        <v>955</v>
      </c>
    </row>
    <row r="89" spans="1:12" ht="15" customHeight="1">
      <c r="A89" t="s">
        <v>1071</v>
      </c>
      <c r="B89" s="2">
        <v>46109</v>
      </c>
      <c r="C89" t="s">
        <v>714</v>
      </c>
      <c r="D89" t="s">
        <v>286</v>
      </c>
      <c r="E89">
        <v>1</v>
      </c>
      <c r="F89" s="1">
        <v>189</v>
      </c>
      <c r="G89" s="8">
        <v>0</v>
      </c>
      <c r="H89" t="s">
        <v>536</v>
      </c>
      <c r="I89" t="s">
        <v>950</v>
      </c>
      <c r="J89" t="s">
        <v>951</v>
      </c>
      <c r="K89" t="s">
        <v>957</v>
      </c>
    </row>
    <row r="90" spans="1:12" ht="15" customHeight="1">
      <c r="A90" t="s">
        <v>1072</v>
      </c>
      <c r="B90" s="2">
        <v>46110</v>
      </c>
      <c r="C90" t="s">
        <v>717</v>
      </c>
      <c r="D90" t="s">
        <v>289</v>
      </c>
      <c r="E90">
        <v>2</v>
      </c>
      <c r="F90" s="1">
        <v>289</v>
      </c>
      <c r="G90" s="8">
        <v>15</v>
      </c>
      <c r="H90" t="s">
        <v>404</v>
      </c>
      <c r="I90" t="s">
        <v>959</v>
      </c>
      <c r="J90" t="s">
        <v>951</v>
      </c>
      <c r="K90" t="s">
        <v>955</v>
      </c>
    </row>
    <row r="91" spans="1:12" ht="15" customHeight="1">
      <c r="A91" t="s">
        <v>1073</v>
      </c>
      <c r="B91" s="2">
        <v>46111</v>
      </c>
      <c r="C91" t="s">
        <v>721</v>
      </c>
      <c r="D91" t="s">
        <v>293</v>
      </c>
      <c r="E91">
        <v>2</v>
      </c>
      <c r="F91" s="1">
        <v>289</v>
      </c>
      <c r="G91" s="8">
        <v>15</v>
      </c>
      <c r="H91" t="s">
        <v>404</v>
      </c>
      <c r="I91" t="s">
        <v>959</v>
      </c>
      <c r="J91" t="s">
        <v>951</v>
      </c>
      <c r="K91" t="s">
        <v>955</v>
      </c>
    </row>
    <row r="92" spans="1:12" ht="15" customHeight="1">
      <c r="A92" t="s">
        <v>1074</v>
      </c>
      <c r="B92" s="2">
        <v>46112</v>
      </c>
      <c r="C92" t="s">
        <v>722</v>
      </c>
      <c r="D92" t="s">
        <v>297</v>
      </c>
      <c r="E92">
        <v>1</v>
      </c>
      <c r="F92" s="1">
        <v>499</v>
      </c>
      <c r="G92" s="8">
        <v>0</v>
      </c>
      <c r="H92" t="s">
        <v>1026</v>
      </c>
      <c r="I92" t="s">
        <v>954</v>
      </c>
      <c r="J92" t="s">
        <v>951</v>
      </c>
      <c r="K92" t="s">
        <v>965</v>
      </c>
    </row>
    <row r="93" spans="1:12" ht="15" customHeight="1">
      <c r="A93" t="s">
        <v>1075</v>
      </c>
      <c r="B93" s="2">
        <v>46113</v>
      </c>
      <c r="C93" t="s">
        <v>725</v>
      </c>
      <c r="D93" t="s">
        <v>300</v>
      </c>
      <c r="E93">
        <v>1</v>
      </c>
      <c r="F93" s="1">
        <v>499</v>
      </c>
      <c r="G93" s="8">
        <v>0</v>
      </c>
      <c r="H93" t="s">
        <v>404</v>
      </c>
      <c r="I93" t="s">
        <v>950</v>
      </c>
      <c r="J93" t="s">
        <v>951</v>
      </c>
      <c r="K93" t="s">
        <v>957</v>
      </c>
    </row>
    <row r="94" spans="1:12" ht="15" customHeight="1">
      <c r="A94" t="s">
        <v>1076</v>
      </c>
      <c r="B94" s="2">
        <v>46114</v>
      </c>
      <c r="C94" t="s">
        <v>728</v>
      </c>
      <c r="D94" t="s">
        <v>304</v>
      </c>
      <c r="E94">
        <v>1</v>
      </c>
      <c r="F94" s="1">
        <v>499</v>
      </c>
      <c r="G94" s="8">
        <v>0</v>
      </c>
      <c r="H94" t="s">
        <v>404</v>
      </c>
      <c r="I94" t="s">
        <v>950</v>
      </c>
      <c r="J94" t="s">
        <v>951</v>
      </c>
      <c r="K94" t="s">
        <v>957</v>
      </c>
    </row>
    <row r="95" spans="1:12" ht="15" customHeight="1">
      <c r="A95" t="s">
        <v>1077</v>
      </c>
      <c r="B95" s="2">
        <v>46115</v>
      </c>
      <c r="C95" t="s">
        <v>731</v>
      </c>
      <c r="D95" t="s">
        <v>306</v>
      </c>
      <c r="E95">
        <v>2</v>
      </c>
      <c r="F95" s="1">
        <v>549</v>
      </c>
      <c r="G95" s="8">
        <v>5</v>
      </c>
      <c r="H95" t="s">
        <v>536</v>
      </c>
      <c r="I95" t="s">
        <v>1017</v>
      </c>
      <c r="J95" t="s">
        <v>951</v>
      </c>
      <c r="K95" t="s">
        <v>955</v>
      </c>
    </row>
    <row r="96" spans="1:12" ht="15" customHeight="1">
      <c r="A96" t="s">
        <v>1078</v>
      </c>
      <c r="B96" s="2">
        <v>46116</v>
      </c>
      <c r="C96" t="s">
        <v>735</v>
      </c>
      <c r="D96" t="s">
        <v>308</v>
      </c>
      <c r="E96">
        <v>2</v>
      </c>
      <c r="F96" s="1">
        <v>549</v>
      </c>
      <c r="G96" s="8">
        <v>5</v>
      </c>
      <c r="H96" t="s">
        <v>536</v>
      </c>
      <c r="I96" t="s">
        <v>1017</v>
      </c>
      <c r="J96" t="s">
        <v>951</v>
      </c>
      <c r="K96" t="s">
        <v>955</v>
      </c>
    </row>
    <row r="97" spans="1:12" ht="15" customHeight="1">
      <c r="A97" t="s">
        <v>1079</v>
      </c>
      <c r="B97" s="2">
        <v>46117</v>
      </c>
      <c r="C97" t="s">
        <v>739</v>
      </c>
      <c r="D97" t="s">
        <v>311</v>
      </c>
      <c r="E97">
        <v>1</v>
      </c>
      <c r="F97" s="1">
        <v>549</v>
      </c>
      <c r="G97" s="8">
        <v>0</v>
      </c>
      <c r="H97" t="s">
        <v>404</v>
      </c>
      <c r="I97" t="s">
        <v>954</v>
      </c>
      <c r="J97" t="s">
        <v>951</v>
      </c>
      <c r="K97" t="s">
        <v>955</v>
      </c>
      <c r="L97" t="s">
        <v>1080</v>
      </c>
    </row>
    <row r="98" spans="1:12" ht="15" customHeight="1">
      <c r="A98" t="s">
        <v>1081</v>
      </c>
      <c r="B98" s="2">
        <v>46118</v>
      </c>
      <c r="C98" t="s">
        <v>742</v>
      </c>
      <c r="D98" t="s">
        <v>312</v>
      </c>
      <c r="E98">
        <v>3</v>
      </c>
      <c r="F98" s="1">
        <v>49</v>
      </c>
      <c r="G98" s="8">
        <v>0</v>
      </c>
      <c r="H98" t="s">
        <v>411</v>
      </c>
      <c r="I98" t="s">
        <v>959</v>
      </c>
      <c r="J98" t="s">
        <v>951</v>
      </c>
      <c r="K98" t="s">
        <v>952</v>
      </c>
    </row>
    <row r="99" spans="1:12" ht="15" customHeight="1">
      <c r="A99" t="s">
        <v>1082</v>
      </c>
      <c r="B99" s="2">
        <v>46119</v>
      </c>
      <c r="C99" t="s">
        <v>745</v>
      </c>
      <c r="D99" t="s">
        <v>314</v>
      </c>
      <c r="E99">
        <v>3</v>
      </c>
      <c r="F99" s="1">
        <v>49</v>
      </c>
      <c r="G99" s="8">
        <v>0</v>
      </c>
      <c r="H99" t="s">
        <v>404</v>
      </c>
      <c r="I99" t="s">
        <v>1015</v>
      </c>
      <c r="J99" t="s">
        <v>951</v>
      </c>
      <c r="K99" t="s">
        <v>955</v>
      </c>
    </row>
    <row r="100" spans="1:12" ht="15" customHeight="1">
      <c r="A100" t="s">
        <v>1083</v>
      </c>
      <c r="B100" s="2">
        <v>46120</v>
      </c>
      <c r="C100" t="s">
        <v>749</v>
      </c>
      <c r="D100" t="s">
        <v>318</v>
      </c>
      <c r="E100">
        <v>2</v>
      </c>
      <c r="F100" s="1">
        <v>29</v>
      </c>
      <c r="G100" s="8">
        <v>0</v>
      </c>
      <c r="H100" t="s">
        <v>536</v>
      </c>
      <c r="I100" t="s">
        <v>969</v>
      </c>
      <c r="J100" t="s">
        <v>951</v>
      </c>
      <c r="K100" t="s">
        <v>957</v>
      </c>
    </row>
    <row r="101" spans="1:12" ht="15" customHeight="1">
      <c r="A101" t="s">
        <v>1084</v>
      </c>
      <c r="B101" s="2">
        <v>46121</v>
      </c>
      <c r="C101" t="s">
        <v>753</v>
      </c>
      <c r="D101" t="s">
        <v>320</v>
      </c>
      <c r="E101">
        <v>2</v>
      </c>
      <c r="F101" s="1">
        <v>29</v>
      </c>
      <c r="G101" s="8">
        <v>0</v>
      </c>
      <c r="H101" t="s">
        <v>404</v>
      </c>
      <c r="I101" t="s">
        <v>981</v>
      </c>
      <c r="J101" t="s">
        <v>951</v>
      </c>
      <c r="K101" t="s">
        <v>965</v>
      </c>
    </row>
    <row r="102" spans="1:12" ht="15" customHeight="1">
      <c r="A102" t="s">
        <v>1085</v>
      </c>
      <c r="B102" s="2">
        <v>46122</v>
      </c>
      <c r="C102" t="s">
        <v>757</v>
      </c>
      <c r="D102" t="s">
        <v>324</v>
      </c>
      <c r="E102">
        <v>1</v>
      </c>
      <c r="F102" s="1">
        <v>349</v>
      </c>
      <c r="G102" s="8">
        <v>0</v>
      </c>
      <c r="H102" t="s">
        <v>404</v>
      </c>
      <c r="I102" t="s">
        <v>950</v>
      </c>
      <c r="J102" t="s">
        <v>951</v>
      </c>
      <c r="K102" t="s">
        <v>955</v>
      </c>
    </row>
    <row r="103" spans="1:12" ht="15" customHeight="1">
      <c r="A103" t="s">
        <v>1086</v>
      </c>
      <c r="B103" s="2">
        <v>46123</v>
      </c>
      <c r="C103" t="s">
        <v>760</v>
      </c>
      <c r="D103" t="s">
        <v>326</v>
      </c>
      <c r="E103">
        <v>2</v>
      </c>
      <c r="F103" s="1">
        <v>349</v>
      </c>
      <c r="G103" s="8">
        <v>10</v>
      </c>
      <c r="H103" t="s">
        <v>536</v>
      </c>
      <c r="I103" t="s">
        <v>954</v>
      </c>
      <c r="J103" t="s">
        <v>951</v>
      </c>
      <c r="K103" t="s">
        <v>957</v>
      </c>
    </row>
    <row r="104" spans="1:12" ht="15" customHeight="1">
      <c r="A104" t="s">
        <v>1087</v>
      </c>
      <c r="B104" s="2">
        <v>46124</v>
      </c>
      <c r="C104" t="s">
        <v>762</v>
      </c>
      <c r="D104" t="s">
        <v>329</v>
      </c>
      <c r="E104">
        <v>3</v>
      </c>
      <c r="F104" s="1">
        <v>129</v>
      </c>
      <c r="G104" s="8">
        <v>0</v>
      </c>
      <c r="H104" t="s">
        <v>411</v>
      </c>
      <c r="I104" t="s">
        <v>959</v>
      </c>
      <c r="J104" t="s">
        <v>951</v>
      </c>
      <c r="K104" t="s">
        <v>962</v>
      </c>
    </row>
    <row r="105" spans="1:12" ht="15" customHeight="1">
      <c r="A105" t="s">
        <v>1088</v>
      </c>
      <c r="B105" s="2">
        <v>46125</v>
      </c>
      <c r="C105" t="s">
        <v>765</v>
      </c>
      <c r="D105" t="s">
        <v>330</v>
      </c>
      <c r="E105">
        <v>2</v>
      </c>
      <c r="F105" s="1">
        <v>129</v>
      </c>
      <c r="G105" s="8">
        <v>5</v>
      </c>
      <c r="H105" t="s">
        <v>404</v>
      </c>
      <c r="I105" t="s">
        <v>1015</v>
      </c>
      <c r="J105" t="s">
        <v>951</v>
      </c>
      <c r="K105" t="s">
        <v>965</v>
      </c>
    </row>
    <row r="106" spans="1:12" ht="15" customHeight="1">
      <c r="A106" t="s">
        <v>1089</v>
      </c>
      <c r="B106" s="2">
        <v>46126</v>
      </c>
      <c r="C106" t="s">
        <v>770</v>
      </c>
      <c r="D106" t="s">
        <v>332</v>
      </c>
      <c r="E106">
        <v>1</v>
      </c>
      <c r="F106" s="1">
        <v>249</v>
      </c>
      <c r="G106" s="8">
        <v>0</v>
      </c>
      <c r="H106" t="s">
        <v>404</v>
      </c>
      <c r="I106" t="s">
        <v>1017</v>
      </c>
      <c r="J106" t="s">
        <v>951</v>
      </c>
      <c r="K106" t="s">
        <v>955</v>
      </c>
    </row>
    <row r="107" spans="1:12" ht="15" customHeight="1">
      <c r="A107" t="s">
        <v>1090</v>
      </c>
      <c r="B107" s="2">
        <v>46127</v>
      </c>
      <c r="C107" t="s">
        <v>773</v>
      </c>
      <c r="D107" t="s">
        <v>335</v>
      </c>
      <c r="E107">
        <v>4</v>
      </c>
      <c r="F107" s="1">
        <v>249</v>
      </c>
      <c r="G107" s="8">
        <v>15</v>
      </c>
      <c r="H107" t="s">
        <v>536</v>
      </c>
      <c r="I107" t="s">
        <v>950</v>
      </c>
      <c r="J107" t="s">
        <v>951</v>
      </c>
      <c r="K107" t="s">
        <v>957</v>
      </c>
    </row>
    <row r="108" spans="1:12" ht="15" customHeight="1">
      <c r="A108" t="s">
        <v>1091</v>
      </c>
      <c r="B108" s="2">
        <v>46128</v>
      </c>
      <c r="C108" t="s">
        <v>776</v>
      </c>
      <c r="D108" t="s">
        <v>337</v>
      </c>
      <c r="E108">
        <v>2</v>
      </c>
      <c r="F108" s="1">
        <v>59</v>
      </c>
      <c r="G108" s="8">
        <v>0</v>
      </c>
      <c r="H108" t="s">
        <v>404</v>
      </c>
      <c r="I108" t="s">
        <v>954</v>
      </c>
      <c r="J108" t="s">
        <v>951</v>
      </c>
      <c r="K108" t="s">
        <v>955</v>
      </c>
    </row>
    <row r="109" spans="1:12" ht="15" customHeight="1">
      <c r="A109" t="s">
        <v>1092</v>
      </c>
      <c r="B109" s="2">
        <v>46129</v>
      </c>
      <c r="C109" t="s">
        <v>779</v>
      </c>
      <c r="D109" t="s">
        <v>340</v>
      </c>
      <c r="E109">
        <v>5</v>
      </c>
      <c r="F109" s="1">
        <v>59</v>
      </c>
      <c r="G109" s="8">
        <v>0</v>
      </c>
      <c r="H109" t="s">
        <v>411</v>
      </c>
      <c r="I109" t="s">
        <v>1019</v>
      </c>
      <c r="J109" t="s">
        <v>951</v>
      </c>
      <c r="K109" t="s">
        <v>952</v>
      </c>
    </row>
    <row r="110" spans="1:12" ht="15" customHeight="1">
      <c r="A110" t="s">
        <v>1093</v>
      </c>
      <c r="B110" s="2">
        <v>46130</v>
      </c>
      <c r="C110" t="s">
        <v>782</v>
      </c>
      <c r="D110" t="s">
        <v>343</v>
      </c>
      <c r="E110">
        <v>1</v>
      </c>
      <c r="F110" s="1">
        <v>399</v>
      </c>
      <c r="G110" s="8">
        <v>0</v>
      </c>
      <c r="H110" t="s">
        <v>1026</v>
      </c>
      <c r="I110" t="s">
        <v>959</v>
      </c>
      <c r="J110" t="s">
        <v>951</v>
      </c>
      <c r="K110" t="s">
        <v>965</v>
      </c>
    </row>
    <row r="111" spans="1:12" ht="15" customHeight="1">
      <c r="A111" t="s">
        <v>1094</v>
      </c>
      <c r="B111" s="2">
        <v>46131</v>
      </c>
      <c r="C111" t="s">
        <v>785</v>
      </c>
      <c r="D111" t="s">
        <v>345</v>
      </c>
      <c r="E111">
        <v>2</v>
      </c>
      <c r="F111" s="1">
        <v>399</v>
      </c>
      <c r="G111" s="8">
        <v>5</v>
      </c>
      <c r="H111" t="s">
        <v>404</v>
      </c>
      <c r="I111" t="s">
        <v>969</v>
      </c>
      <c r="J111" t="s">
        <v>951</v>
      </c>
      <c r="K111" t="s">
        <v>955</v>
      </c>
    </row>
    <row r="112" spans="1:12" ht="15" customHeight="1">
      <c r="A112" t="s">
        <v>1095</v>
      </c>
      <c r="B112" s="2">
        <v>46132</v>
      </c>
      <c r="C112" t="s">
        <v>788</v>
      </c>
      <c r="D112" t="s">
        <v>348</v>
      </c>
      <c r="E112">
        <v>3</v>
      </c>
      <c r="F112" s="1">
        <v>79</v>
      </c>
      <c r="G112" s="8">
        <v>0</v>
      </c>
      <c r="H112" t="s">
        <v>404</v>
      </c>
      <c r="I112" t="s">
        <v>954</v>
      </c>
      <c r="J112" t="s">
        <v>951</v>
      </c>
      <c r="K112" t="s">
        <v>957</v>
      </c>
    </row>
    <row r="113" spans="1:12" ht="15" customHeight="1">
      <c r="A113" t="s">
        <v>1096</v>
      </c>
      <c r="B113" s="2">
        <v>46133</v>
      </c>
      <c r="C113" t="s">
        <v>792</v>
      </c>
      <c r="D113" t="s">
        <v>350</v>
      </c>
      <c r="E113">
        <v>2</v>
      </c>
      <c r="F113" s="1">
        <v>79</v>
      </c>
      <c r="G113" s="8">
        <v>0</v>
      </c>
      <c r="H113" t="s">
        <v>536</v>
      </c>
      <c r="I113" t="s">
        <v>950</v>
      </c>
      <c r="J113" t="s">
        <v>951</v>
      </c>
      <c r="K113" t="s">
        <v>957</v>
      </c>
    </row>
    <row r="114" spans="1:12" ht="15" customHeight="1">
      <c r="A114" t="s">
        <v>1097</v>
      </c>
      <c r="B114" s="2">
        <v>46134</v>
      </c>
      <c r="C114" t="s">
        <v>796</v>
      </c>
      <c r="D114" t="s">
        <v>353</v>
      </c>
      <c r="E114">
        <v>1</v>
      </c>
      <c r="F114" s="1">
        <v>129</v>
      </c>
      <c r="G114" s="8">
        <v>0</v>
      </c>
      <c r="H114" t="s">
        <v>411</v>
      </c>
      <c r="I114" t="s">
        <v>1017</v>
      </c>
      <c r="J114" t="s">
        <v>951</v>
      </c>
      <c r="K114" t="s">
        <v>962</v>
      </c>
    </row>
    <row r="115" spans="1:12" ht="15" customHeight="1">
      <c r="A115" t="s">
        <v>1098</v>
      </c>
      <c r="B115" s="2">
        <v>46135</v>
      </c>
      <c r="C115" t="s">
        <v>799</v>
      </c>
      <c r="D115" t="s">
        <v>355</v>
      </c>
      <c r="E115">
        <v>1</v>
      </c>
      <c r="F115" s="1">
        <v>129</v>
      </c>
      <c r="G115" s="8">
        <v>0</v>
      </c>
      <c r="H115" t="s">
        <v>404</v>
      </c>
      <c r="I115" t="s">
        <v>1015</v>
      </c>
      <c r="J115" t="s">
        <v>951</v>
      </c>
      <c r="K115" t="s">
        <v>955</v>
      </c>
    </row>
    <row r="116" spans="1:12" ht="15" customHeight="1">
      <c r="A116" t="s">
        <v>1099</v>
      </c>
      <c r="B116" s="2">
        <v>46136</v>
      </c>
      <c r="C116" t="s">
        <v>803</v>
      </c>
      <c r="D116" t="s">
        <v>358</v>
      </c>
      <c r="E116">
        <v>2</v>
      </c>
      <c r="F116" s="1">
        <v>159</v>
      </c>
      <c r="G116" s="8">
        <v>10</v>
      </c>
      <c r="H116" t="s">
        <v>1021</v>
      </c>
      <c r="I116" t="s">
        <v>981</v>
      </c>
      <c r="J116" t="s">
        <v>951</v>
      </c>
      <c r="K116" t="s">
        <v>957</v>
      </c>
    </row>
    <row r="117" spans="1:12" ht="15" customHeight="1">
      <c r="A117" t="s">
        <v>1100</v>
      </c>
      <c r="B117" s="2">
        <v>46137</v>
      </c>
      <c r="C117" t="s">
        <v>805</v>
      </c>
      <c r="D117" t="s">
        <v>360</v>
      </c>
      <c r="E117">
        <v>1</v>
      </c>
      <c r="F117" s="1">
        <v>159</v>
      </c>
      <c r="G117" s="8">
        <v>0</v>
      </c>
      <c r="H117" t="s">
        <v>404</v>
      </c>
      <c r="I117" t="s">
        <v>950</v>
      </c>
      <c r="J117" t="s">
        <v>961</v>
      </c>
      <c r="K117" t="s">
        <v>955</v>
      </c>
    </row>
    <row r="118" spans="1:12" ht="15" customHeight="1">
      <c r="A118" t="s">
        <v>1101</v>
      </c>
      <c r="B118" s="2">
        <v>46138</v>
      </c>
      <c r="C118" t="s">
        <v>809</v>
      </c>
      <c r="D118" t="s">
        <v>364</v>
      </c>
      <c r="E118">
        <v>1</v>
      </c>
      <c r="F118" s="1">
        <v>89</v>
      </c>
      <c r="G118" s="8">
        <v>0</v>
      </c>
      <c r="H118" t="s">
        <v>536</v>
      </c>
      <c r="I118" t="s">
        <v>954</v>
      </c>
      <c r="J118" t="s">
        <v>951</v>
      </c>
      <c r="K118" t="s">
        <v>965</v>
      </c>
    </row>
    <row r="119" spans="1:12" ht="15" customHeight="1">
      <c r="A119" t="s">
        <v>1102</v>
      </c>
      <c r="B119" s="2">
        <v>46139</v>
      </c>
      <c r="C119" t="s">
        <v>813</v>
      </c>
      <c r="D119" t="s">
        <v>366</v>
      </c>
      <c r="E119">
        <v>2</v>
      </c>
      <c r="F119" s="1">
        <v>89</v>
      </c>
      <c r="G119" s="8">
        <v>0</v>
      </c>
      <c r="H119" t="s">
        <v>404</v>
      </c>
      <c r="I119" t="s">
        <v>959</v>
      </c>
      <c r="J119" t="s">
        <v>951</v>
      </c>
      <c r="K119" t="s">
        <v>955</v>
      </c>
    </row>
    <row r="120" spans="1:12" ht="15" customHeight="1">
      <c r="A120" t="s">
        <v>1103</v>
      </c>
      <c r="B120" s="2">
        <v>46140</v>
      </c>
      <c r="C120" t="s">
        <v>816</v>
      </c>
      <c r="D120" t="s">
        <v>369</v>
      </c>
      <c r="E120">
        <v>3</v>
      </c>
      <c r="F120" s="1">
        <v>25</v>
      </c>
      <c r="G120" s="8">
        <v>0</v>
      </c>
      <c r="H120" t="s">
        <v>396</v>
      </c>
      <c r="I120" t="s">
        <v>1017</v>
      </c>
      <c r="J120" t="s">
        <v>951</v>
      </c>
      <c r="K120" t="s">
        <v>962</v>
      </c>
    </row>
    <row r="121" spans="1:12" ht="15" customHeight="1">
      <c r="A121" t="s">
        <v>1104</v>
      </c>
      <c r="B121" s="2">
        <v>46141</v>
      </c>
      <c r="C121" t="s">
        <v>818</v>
      </c>
      <c r="D121" t="s">
        <v>373</v>
      </c>
      <c r="E121">
        <v>2</v>
      </c>
      <c r="F121" s="1">
        <v>25</v>
      </c>
      <c r="G121" s="8">
        <v>0</v>
      </c>
      <c r="H121" t="s">
        <v>396</v>
      </c>
      <c r="I121" t="s">
        <v>1017</v>
      </c>
      <c r="J121" t="s">
        <v>951</v>
      </c>
      <c r="K121" t="s">
        <v>962</v>
      </c>
    </row>
    <row r="122" spans="1:12" ht="15" customHeight="1">
      <c r="A122" t="s">
        <v>1105</v>
      </c>
      <c r="B122" s="2">
        <v>46142</v>
      </c>
      <c r="C122" t="s">
        <v>822</v>
      </c>
      <c r="D122" t="s">
        <v>376</v>
      </c>
      <c r="E122">
        <v>1</v>
      </c>
      <c r="F122" s="1">
        <v>699</v>
      </c>
      <c r="G122" s="8">
        <v>25</v>
      </c>
      <c r="H122" t="s">
        <v>404</v>
      </c>
      <c r="I122" t="s">
        <v>950</v>
      </c>
      <c r="J122" t="s">
        <v>951</v>
      </c>
      <c r="K122" t="s">
        <v>957</v>
      </c>
    </row>
    <row r="123" spans="1:12" ht="15" customHeight="1">
      <c r="A123" t="s">
        <v>1106</v>
      </c>
      <c r="B123" s="2">
        <v>46143</v>
      </c>
      <c r="C123" t="s">
        <v>826</v>
      </c>
      <c r="D123" t="s">
        <v>379</v>
      </c>
      <c r="E123">
        <v>1</v>
      </c>
      <c r="F123" s="1">
        <v>699</v>
      </c>
      <c r="G123" s="8">
        <v>25</v>
      </c>
      <c r="H123" t="s">
        <v>404</v>
      </c>
      <c r="I123" t="s">
        <v>950</v>
      </c>
      <c r="J123" t="s">
        <v>951</v>
      </c>
      <c r="K123" t="s">
        <v>957</v>
      </c>
    </row>
    <row r="124" spans="1:12" ht="15" customHeight="1">
      <c r="A124" t="s">
        <v>1107</v>
      </c>
      <c r="B124" s="2">
        <v>46144</v>
      </c>
      <c r="C124" t="s">
        <v>830</v>
      </c>
      <c r="D124" t="s">
        <v>381</v>
      </c>
      <c r="E124">
        <v>2</v>
      </c>
      <c r="F124" s="1">
        <v>35</v>
      </c>
      <c r="G124" s="8">
        <v>0</v>
      </c>
      <c r="H124" t="s">
        <v>536</v>
      </c>
      <c r="I124" t="s">
        <v>954</v>
      </c>
      <c r="J124" t="s">
        <v>951</v>
      </c>
      <c r="K124" t="s">
        <v>965</v>
      </c>
    </row>
    <row r="125" spans="1:12" ht="15" customHeight="1">
      <c r="A125" t="s">
        <v>1108</v>
      </c>
      <c r="B125" s="2">
        <v>46145</v>
      </c>
      <c r="C125" t="s">
        <v>834</v>
      </c>
      <c r="D125" t="s">
        <v>383</v>
      </c>
      <c r="E125">
        <v>2</v>
      </c>
      <c r="F125" s="1">
        <v>35</v>
      </c>
      <c r="G125" s="8">
        <v>0</v>
      </c>
      <c r="H125" t="s">
        <v>411</v>
      </c>
      <c r="I125" t="s">
        <v>959</v>
      </c>
      <c r="J125" t="s">
        <v>951</v>
      </c>
      <c r="K125" t="s">
        <v>952</v>
      </c>
    </row>
    <row r="126" spans="1:12" ht="15" customHeight="1">
      <c r="A126" t="s">
        <v>1109</v>
      </c>
      <c r="B126" s="2">
        <v>46146</v>
      </c>
      <c r="C126" t="s">
        <v>837</v>
      </c>
      <c r="D126" t="s">
        <v>386</v>
      </c>
      <c r="E126">
        <v>1</v>
      </c>
      <c r="F126" s="1">
        <v>499</v>
      </c>
      <c r="G126" s="8">
        <v>0</v>
      </c>
      <c r="H126" t="s">
        <v>404</v>
      </c>
      <c r="I126" t="s">
        <v>1015</v>
      </c>
      <c r="J126" t="s">
        <v>951</v>
      </c>
      <c r="K126" t="s">
        <v>955</v>
      </c>
    </row>
    <row r="127" spans="1:12" ht="15" customHeight="1">
      <c r="A127" t="s">
        <v>1110</v>
      </c>
      <c r="B127" s="2">
        <v>46147</v>
      </c>
      <c r="C127" t="s">
        <v>840</v>
      </c>
      <c r="D127" t="s">
        <v>11</v>
      </c>
      <c r="E127">
        <v>2</v>
      </c>
      <c r="F127" s="1">
        <v>185</v>
      </c>
      <c r="G127" s="8">
        <v>0</v>
      </c>
      <c r="H127" t="s">
        <v>404</v>
      </c>
      <c r="I127" t="s">
        <v>1015</v>
      </c>
      <c r="J127" t="s">
        <v>951</v>
      </c>
      <c r="K127" t="s">
        <v>955</v>
      </c>
      <c r="L127" t="s">
        <v>1111</v>
      </c>
    </row>
    <row r="128" spans="1:12" ht="15" customHeight="1">
      <c r="A128" t="s">
        <v>1112</v>
      </c>
      <c r="B128" s="2">
        <v>46148</v>
      </c>
      <c r="C128" t="s">
        <v>843</v>
      </c>
      <c r="D128" t="s">
        <v>17</v>
      </c>
      <c r="E128">
        <v>1</v>
      </c>
      <c r="F128" s="1">
        <v>75</v>
      </c>
      <c r="G128" s="8">
        <v>0</v>
      </c>
      <c r="H128" t="s">
        <v>536</v>
      </c>
      <c r="I128" t="s">
        <v>1017</v>
      </c>
      <c r="J128" t="s">
        <v>951</v>
      </c>
      <c r="K128" t="s">
        <v>957</v>
      </c>
    </row>
    <row r="129" spans="1:12" ht="15" customHeight="1">
      <c r="A129" t="s">
        <v>1113</v>
      </c>
      <c r="B129" s="2">
        <v>46149</v>
      </c>
      <c r="C129" t="s">
        <v>847</v>
      </c>
      <c r="D129" t="s">
        <v>22</v>
      </c>
      <c r="E129">
        <v>15</v>
      </c>
      <c r="F129" s="1">
        <v>24</v>
      </c>
      <c r="G129" s="8">
        <v>0</v>
      </c>
      <c r="H129" t="s">
        <v>536</v>
      </c>
      <c r="I129" t="s">
        <v>1017</v>
      </c>
      <c r="J129" t="s">
        <v>951</v>
      </c>
      <c r="K129" t="s">
        <v>957</v>
      </c>
      <c r="L129" t="s">
        <v>1114</v>
      </c>
    </row>
    <row r="130" spans="1:12" ht="15" customHeight="1">
      <c r="A130" t="s">
        <v>1115</v>
      </c>
      <c r="B130" s="2">
        <v>46150</v>
      </c>
      <c r="C130" t="s">
        <v>849</v>
      </c>
      <c r="D130" t="s">
        <v>26</v>
      </c>
      <c r="E130">
        <v>1</v>
      </c>
      <c r="F130" s="1">
        <v>850</v>
      </c>
      <c r="G130" s="8">
        <v>0</v>
      </c>
      <c r="H130" t="s">
        <v>404</v>
      </c>
      <c r="I130" t="s">
        <v>954</v>
      </c>
      <c r="J130" t="s">
        <v>991</v>
      </c>
      <c r="K130" t="s">
        <v>965</v>
      </c>
    </row>
    <row r="131" spans="1:12" ht="15" customHeight="1">
      <c r="A131" t="s">
        <v>1116</v>
      </c>
      <c r="B131" s="2">
        <v>46151</v>
      </c>
      <c r="C131" t="s">
        <v>852</v>
      </c>
      <c r="D131" t="s">
        <v>29</v>
      </c>
      <c r="E131">
        <v>2</v>
      </c>
      <c r="F131" s="1">
        <v>60</v>
      </c>
      <c r="G131" s="8">
        <v>0</v>
      </c>
      <c r="H131" t="s">
        <v>404</v>
      </c>
      <c r="I131" t="s">
        <v>954</v>
      </c>
      <c r="J131" t="s">
        <v>951</v>
      </c>
      <c r="K131" t="s">
        <v>965</v>
      </c>
    </row>
    <row r="132" spans="1:12" ht="15" customHeight="1">
      <c r="A132" t="s">
        <v>1117</v>
      </c>
      <c r="B132" s="2">
        <v>46152</v>
      </c>
      <c r="C132" t="s">
        <v>854</v>
      </c>
      <c r="D132" t="s">
        <v>33</v>
      </c>
      <c r="E132">
        <v>3</v>
      </c>
      <c r="F132" s="1">
        <v>120</v>
      </c>
      <c r="G132" s="8">
        <v>5</v>
      </c>
      <c r="H132" t="s">
        <v>404</v>
      </c>
      <c r="I132" t="s">
        <v>950</v>
      </c>
      <c r="J132" t="s">
        <v>951</v>
      </c>
      <c r="K132" t="s">
        <v>955</v>
      </c>
    </row>
    <row r="133" spans="1:12" ht="15" customHeight="1">
      <c r="A133" t="s">
        <v>1118</v>
      </c>
      <c r="B133" s="2">
        <v>46153</v>
      </c>
      <c r="C133" t="s">
        <v>857</v>
      </c>
      <c r="D133" t="s">
        <v>38</v>
      </c>
      <c r="E133">
        <v>2</v>
      </c>
      <c r="F133" s="1">
        <v>120</v>
      </c>
      <c r="G133" s="8">
        <v>5</v>
      </c>
      <c r="H133" t="s">
        <v>404</v>
      </c>
      <c r="I133" t="s">
        <v>950</v>
      </c>
      <c r="J133" t="s">
        <v>951</v>
      </c>
      <c r="K133" t="s">
        <v>955</v>
      </c>
    </row>
    <row r="134" spans="1:12" ht="15" customHeight="1">
      <c r="A134" t="s">
        <v>1119</v>
      </c>
      <c r="B134" s="2">
        <v>46154</v>
      </c>
      <c r="C134" t="s">
        <v>861</v>
      </c>
      <c r="D134" t="s">
        <v>41</v>
      </c>
      <c r="E134">
        <v>2</v>
      </c>
      <c r="F134" s="1">
        <v>119.99</v>
      </c>
      <c r="G134" s="8">
        <v>0</v>
      </c>
      <c r="H134" t="s">
        <v>536</v>
      </c>
      <c r="I134" t="s">
        <v>954</v>
      </c>
      <c r="J134" t="s">
        <v>951</v>
      </c>
      <c r="K134" t="s">
        <v>957</v>
      </c>
    </row>
    <row r="135" spans="1:12" ht="15" customHeight="1">
      <c r="A135" t="s">
        <v>1120</v>
      </c>
      <c r="B135" s="2">
        <v>46155</v>
      </c>
      <c r="C135" t="s">
        <v>864</v>
      </c>
      <c r="D135" t="s">
        <v>43</v>
      </c>
      <c r="E135">
        <v>1</v>
      </c>
      <c r="F135" s="1">
        <v>210</v>
      </c>
      <c r="G135" s="8">
        <v>0</v>
      </c>
      <c r="H135" t="s">
        <v>404</v>
      </c>
      <c r="I135" t="s">
        <v>959</v>
      </c>
      <c r="J135" t="s">
        <v>951</v>
      </c>
      <c r="K135" t="s">
        <v>955</v>
      </c>
    </row>
    <row r="136" spans="1:12" ht="15" customHeight="1">
      <c r="A136" t="s">
        <v>1121</v>
      </c>
      <c r="B136" s="2">
        <v>46156</v>
      </c>
      <c r="C136" t="s">
        <v>867</v>
      </c>
      <c r="D136" t="s">
        <v>48</v>
      </c>
      <c r="E136">
        <v>8</v>
      </c>
      <c r="F136" s="1">
        <v>35</v>
      </c>
      <c r="G136" s="8">
        <v>20</v>
      </c>
      <c r="H136" t="s">
        <v>411</v>
      </c>
      <c r="I136" t="s">
        <v>1019</v>
      </c>
      <c r="J136" t="s">
        <v>951</v>
      </c>
      <c r="K136" t="s">
        <v>962</v>
      </c>
    </row>
    <row r="137" spans="1:12" ht="15" customHeight="1">
      <c r="A137" t="s">
        <v>1122</v>
      </c>
      <c r="B137" s="2">
        <v>46157</v>
      </c>
      <c r="C137" t="s">
        <v>870</v>
      </c>
      <c r="D137" t="s">
        <v>51</v>
      </c>
      <c r="E137">
        <v>2</v>
      </c>
      <c r="F137" s="1">
        <v>95</v>
      </c>
      <c r="G137" s="8">
        <v>0</v>
      </c>
      <c r="H137" t="s">
        <v>404</v>
      </c>
      <c r="I137" t="s">
        <v>954</v>
      </c>
      <c r="J137" t="s">
        <v>951</v>
      </c>
      <c r="K137" t="s">
        <v>965</v>
      </c>
    </row>
    <row r="138" spans="1:12" ht="15" customHeight="1">
      <c r="A138" t="s">
        <v>1123</v>
      </c>
      <c r="B138" s="2">
        <v>46158</v>
      </c>
      <c r="C138" t="s">
        <v>873</v>
      </c>
      <c r="D138" t="s">
        <v>56</v>
      </c>
      <c r="E138">
        <v>1</v>
      </c>
      <c r="F138" s="1">
        <v>70</v>
      </c>
      <c r="G138" s="8">
        <v>0</v>
      </c>
      <c r="H138" t="s">
        <v>536</v>
      </c>
      <c r="I138" t="s">
        <v>969</v>
      </c>
      <c r="J138" t="s">
        <v>951</v>
      </c>
      <c r="K138" t="s">
        <v>957</v>
      </c>
    </row>
    <row r="139" spans="1:12" ht="15" customHeight="1">
      <c r="A139" t="s">
        <v>1124</v>
      </c>
      <c r="B139" s="2">
        <v>46159</v>
      </c>
      <c r="C139" t="s">
        <v>876</v>
      </c>
      <c r="D139" t="s">
        <v>59</v>
      </c>
      <c r="E139">
        <v>25</v>
      </c>
      <c r="F139" s="1">
        <v>12</v>
      </c>
      <c r="G139" s="8">
        <v>0</v>
      </c>
      <c r="H139" t="s">
        <v>411</v>
      </c>
      <c r="I139" t="s">
        <v>959</v>
      </c>
      <c r="J139" t="s">
        <v>951</v>
      </c>
      <c r="K139" t="s">
        <v>962</v>
      </c>
    </row>
    <row r="140" spans="1:12" ht="15" customHeight="1">
      <c r="A140" t="s">
        <v>1125</v>
      </c>
      <c r="B140" s="2">
        <v>46160</v>
      </c>
      <c r="C140" t="s">
        <v>879</v>
      </c>
      <c r="D140" t="s">
        <v>64</v>
      </c>
      <c r="E140">
        <v>25</v>
      </c>
      <c r="F140" s="1">
        <v>12</v>
      </c>
      <c r="G140" s="8">
        <v>0</v>
      </c>
      <c r="H140" t="s">
        <v>411</v>
      </c>
      <c r="I140" t="s">
        <v>959</v>
      </c>
      <c r="J140" t="s">
        <v>951</v>
      </c>
      <c r="K140" t="s">
        <v>962</v>
      </c>
      <c r="L140" t="s">
        <v>1126</v>
      </c>
    </row>
    <row r="141" spans="1:12" ht="15" customHeight="1">
      <c r="A141" t="s">
        <v>1127</v>
      </c>
      <c r="B141" s="2">
        <v>46161</v>
      </c>
      <c r="C141" t="s">
        <v>880</v>
      </c>
      <c r="D141" t="s">
        <v>68</v>
      </c>
      <c r="E141">
        <v>5</v>
      </c>
      <c r="F141" s="1">
        <v>15</v>
      </c>
      <c r="G141" s="8">
        <v>0</v>
      </c>
      <c r="H141" t="s">
        <v>404</v>
      </c>
      <c r="I141" t="s">
        <v>954</v>
      </c>
      <c r="J141" t="s">
        <v>951</v>
      </c>
      <c r="K141" t="s">
        <v>955</v>
      </c>
    </row>
    <row r="142" spans="1:12" ht="15" customHeight="1">
      <c r="A142" t="s">
        <v>1128</v>
      </c>
      <c r="B142" s="2">
        <v>46162</v>
      </c>
      <c r="C142" t="s">
        <v>883</v>
      </c>
      <c r="D142" t="s">
        <v>73</v>
      </c>
      <c r="E142">
        <v>5</v>
      </c>
      <c r="F142" s="1">
        <v>15</v>
      </c>
      <c r="G142" s="8">
        <v>0</v>
      </c>
      <c r="H142" t="s">
        <v>404</v>
      </c>
      <c r="I142" t="s">
        <v>954</v>
      </c>
      <c r="J142" t="s">
        <v>951</v>
      </c>
      <c r="K142" t="s">
        <v>955</v>
      </c>
      <c r="L142" t="s">
        <v>1129</v>
      </c>
    </row>
    <row r="143" spans="1:12" ht="15" customHeight="1">
      <c r="A143" t="s">
        <v>1130</v>
      </c>
      <c r="B143" s="2">
        <v>46163</v>
      </c>
      <c r="C143" t="s">
        <v>886</v>
      </c>
      <c r="D143" t="s">
        <v>76</v>
      </c>
      <c r="E143">
        <v>2</v>
      </c>
      <c r="F143" s="1">
        <v>55</v>
      </c>
      <c r="G143" s="8">
        <v>0</v>
      </c>
      <c r="H143" t="s">
        <v>536</v>
      </c>
      <c r="I143" t="s">
        <v>950</v>
      </c>
      <c r="J143" t="s">
        <v>951</v>
      </c>
      <c r="K143" t="s">
        <v>957</v>
      </c>
    </row>
    <row r="144" spans="1:12" ht="15" customHeight="1">
      <c r="A144" t="s">
        <v>1131</v>
      </c>
      <c r="B144" s="2">
        <v>46164</v>
      </c>
      <c r="C144" t="s">
        <v>888</v>
      </c>
      <c r="D144" t="s">
        <v>80</v>
      </c>
      <c r="E144">
        <v>1</v>
      </c>
      <c r="F144" s="1">
        <v>80</v>
      </c>
      <c r="G144" s="8">
        <v>0</v>
      </c>
      <c r="H144" t="s">
        <v>404</v>
      </c>
      <c r="I144" t="s">
        <v>1017</v>
      </c>
      <c r="J144" t="s">
        <v>951</v>
      </c>
      <c r="K144" t="s">
        <v>965</v>
      </c>
    </row>
    <row r="145" spans="1:12" ht="15" customHeight="1">
      <c r="A145" t="s">
        <v>1132</v>
      </c>
      <c r="B145" s="2">
        <v>46165</v>
      </c>
      <c r="C145" t="s">
        <v>892</v>
      </c>
      <c r="D145" t="s">
        <v>84</v>
      </c>
      <c r="E145">
        <v>1</v>
      </c>
      <c r="F145" s="1">
        <v>80</v>
      </c>
      <c r="G145" s="8">
        <v>0</v>
      </c>
      <c r="H145" t="s">
        <v>404</v>
      </c>
      <c r="I145" t="s">
        <v>1017</v>
      </c>
      <c r="J145" t="s">
        <v>951</v>
      </c>
      <c r="K145" t="s">
        <v>965</v>
      </c>
    </row>
    <row r="146" spans="1:12" ht="15" customHeight="1">
      <c r="A146" t="s">
        <v>1133</v>
      </c>
      <c r="B146" s="2">
        <v>46166</v>
      </c>
      <c r="C146" t="s">
        <v>896</v>
      </c>
      <c r="D146" t="s">
        <v>86</v>
      </c>
      <c r="E146">
        <v>4</v>
      </c>
      <c r="F146" s="1">
        <v>65</v>
      </c>
      <c r="G146" s="8">
        <v>10</v>
      </c>
      <c r="H146" t="s">
        <v>411</v>
      </c>
      <c r="I146" t="s">
        <v>1015</v>
      </c>
      <c r="J146" t="s">
        <v>951</v>
      </c>
      <c r="K146" t="s">
        <v>952</v>
      </c>
    </row>
    <row r="147" spans="1:12" ht="15" customHeight="1">
      <c r="A147" t="s">
        <v>1134</v>
      </c>
      <c r="B147" s="2">
        <v>46167</v>
      </c>
      <c r="C147" t="s">
        <v>899</v>
      </c>
      <c r="D147" t="s">
        <v>89</v>
      </c>
      <c r="E147">
        <v>2</v>
      </c>
      <c r="F147" s="1">
        <v>79</v>
      </c>
      <c r="G147" s="8">
        <v>0</v>
      </c>
      <c r="H147" t="s">
        <v>404</v>
      </c>
      <c r="I147" t="s">
        <v>950</v>
      </c>
      <c r="J147" t="s">
        <v>951</v>
      </c>
      <c r="K147" t="s">
        <v>957</v>
      </c>
    </row>
    <row r="148" spans="1:12" ht="15" customHeight="1">
      <c r="A148" t="s">
        <v>1135</v>
      </c>
      <c r="B148" s="2">
        <v>46168</v>
      </c>
      <c r="C148" t="s">
        <v>902</v>
      </c>
      <c r="D148" t="s">
        <v>91</v>
      </c>
      <c r="E148">
        <v>2</v>
      </c>
      <c r="F148" s="1">
        <v>79</v>
      </c>
      <c r="G148" s="8">
        <v>0</v>
      </c>
      <c r="H148" t="s">
        <v>404</v>
      </c>
      <c r="I148" t="s">
        <v>950</v>
      </c>
      <c r="J148" t="s">
        <v>951</v>
      </c>
      <c r="K148" t="s">
        <v>957</v>
      </c>
    </row>
    <row r="149" spans="1:12" ht="15" customHeight="1">
      <c r="A149" t="s">
        <v>1136</v>
      </c>
      <c r="B149" s="2">
        <v>46169</v>
      </c>
      <c r="C149" t="s">
        <v>905</v>
      </c>
      <c r="D149" t="s">
        <v>94</v>
      </c>
      <c r="E149">
        <v>20</v>
      </c>
      <c r="F149" s="1">
        <v>4.5</v>
      </c>
      <c r="G149" s="8">
        <v>0</v>
      </c>
      <c r="H149" t="s">
        <v>411</v>
      </c>
      <c r="I149" t="s">
        <v>954</v>
      </c>
      <c r="J149" t="s">
        <v>951</v>
      </c>
      <c r="K149" t="s">
        <v>962</v>
      </c>
    </row>
    <row r="150" spans="1:12" ht="15" customHeight="1">
      <c r="A150" t="s">
        <v>1137</v>
      </c>
      <c r="B150" s="2">
        <v>46170</v>
      </c>
      <c r="C150" t="s">
        <v>907</v>
      </c>
      <c r="D150" t="s">
        <v>99</v>
      </c>
      <c r="E150">
        <v>1</v>
      </c>
      <c r="F150" s="1">
        <v>185</v>
      </c>
      <c r="G150" s="8">
        <v>0</v>
      </c>
      <c r="H150" t="s">
        <v>404</v>
      </c>
      <c r="I150" t="s">
        <v>959</v>
      </c>
      <c r="J150" t="s">
        <v>951</v>
      </c>
      <c r="K150" t="s">
        <v>955</v>
      </c>
    </row>
    <row r="151" spans="1:12" ht="15" customHeight="1">
      <c r="A151" t="s">
        <v>1138</v>
      </c>
      <c r="B151" s="2">
        <v>46171</v>
      </c>
      <c r="C151" t="s">
        <v>910</v>
      </c>
      <c r="D151" t="s">
        <v>103</v>
      </c>
      <c r="E151">
        <v>1</v>
      </c>
      <c r="F151" s="1">
        <v>249</v>
      </c>
      <c r="G151" s="8">
        <v>50</v>
      </c>
      <c r="H151" t="s">
        <v>404</v>
      </c>
      <c r="I151" t="s">
        <v>1015</v>
      </c>
      <c r="J151" t="s">
        <v>951</v>
      </c>
      <c r="K151" t="s">
        <v>955</v>
      </c>
      <c r="L151" t="s">
        <v>1139</v>
      </c>
    </row>
  </sheetData>
  <pageMargins left="0.7" right="0.7" top="0.75" bottom="0.75" header="0.511811023622047" footer="0.511811023622047"/>
  <pageSetup paperSize="9" orientation="portrait" horizontalDpi="300" verticalDpi="30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151"/>
  <sheetViews>
    <sheetView topLeftCell="A2" zoomScaleNormal="100" workbookViewId="0">
      <selection activeCell="P16" sqref="P16"/>
    </sheetView>
  </sheetViews>
  <sheetFormatPr defaultColWidth="8.5703125" defaultRowHeight="15" customHeight="1"/>
  <cols>
    <col min="1" max="1" width="12" customWidth="1"/>
    <col min="2" max="2" width="13" style="2" customWidth="1"/>
    <col min="3" max="3" width="12" customWidth="1"/>
    <col min="4" max="4" width="22" customWidth="1"/>
    <col min="5" max="5" width="16" customWidth="1"/>
    <col min="6" max="6" width="12" customWidth="1"/>
    <col min="7" max="7" width="24" customWidth="1"/>
    <col min="8" max="8" width="20" customWidth="1"/>
    <col min="9" max="9" width="10" customWidth="1"/>
    <col min="10" max="10" width="14" style="1" customWidth="1"/>
    <col min="11" max="11" width="11" style="8" customWidth="1"/>
    <col min="12" max="12" width="14" style="1" customWidth="1"/>
    <col min="13" max="13" width="14" customWidth="1"/>
    <col min="14" max="14" width="16" customWidth="1"/>
    <col min="15" max="15" width="13" customWidth="1"/>
    <col min="16" max="16" width="25" customWidth="1"/>
    <col min="17" max="17" width="160" bestFit="1" customWidth="1"/>
    <col min="18" max="19" width="10" customWidth="1"/>
    <col min="20" max="20" width="10.7109375" customWidth="1"/>
    <col min="21" max="21" width="22" customWidth="1"/>
  </cols>
  <sheetData>
    <row r="1" spans="1:21" ht="15" customHeight="1">
      <c r="A1" t="s">
        <v>942</v>
      </c>
      <c r="B1" s="2" t="s">
        <v>943</v>
      </c>
      <c r="C1" t="s">
        <v>391</v>
      </c>
      <c r="D1" t="s">
        <v>1140</v>
      </c>
      <c r="E1" t="s">
        <v>393</v>
      </c>
      <c r="F1" t="s">
        <v>0</v>
      </c>
      <c r="G1" t="s">
        <v>1</v>
      </c>
      <c r="H1" t="s">
        <v>2</v>
      </c>
      <c r="I1" t="s">
        <v>944</v>
      </c>
      <c r="J1" s="1" t="s">
        <v>4</v>
      </c>
      <c r="K1" s="8" t="s">
        <v>1141</v>
      </c>
      <c r="L1" s="1" t="s">
        <v>1142</v>
      </c>
      <c r="M1" t="s">
        <v>947</v>
      </c>
      <c r="N1" t="s">
        <v>946</v>
      </c>
      <c r="O1" t="s">
        <v>8</v>
      </c>
      <c r="P1" t="s">
        <v>1143</v>
      </c>
      <c r="Q1" t="s">
        <v>10</v>
      </c>
      <c r="R1" t="s">
        <v>1144</v>
      </c>
      <c r="S1" t="s">
        <v>1145</v>
      </c>
      <c r="T1" t="s">
        <v>1146</v>
      </c>
      <c r="U1" t="s">
        <v>1147</v>
      </c>
    </row>
    <row r="2" spans="1:21" ht="15" customHeight="1">
      <c r="A2" t="s">
        <v>949</v>
      </c>
      <c r="B2" s="2">
        <v>46024</v>
      </c>
      <c r="C2" t="s">
        <v>399</v>
      </c>
      <c r="D2" t="s">
        <v>400</v>
      </c>
      <c r="E2" t="s">
        <v>401</v>
      </c>
      <c r="F2" t="s">
        <v>11</v>
      </c>
      <c r="G2" t="s">
        <v>12</v>
      </c>
      <c r="H2" t="s">
        <v>13</v>
      </c>
      <c r="I2">
        <v>2</v>
      </c>
      <c r="J2" s="1">
        <v>180</v>
      </c>
      <c r="K2" s="8">
        <v>0</v>
      </c>
      <c r="L2" s="1">
        <v>360</v>
      </c>
      <c r="M2" t="s">
        <v>950</v>
      </c>
      <c r="N2" t="s">
        <v>411</v>
      </c>
      <c r="O2" t="s">
        <v>951</v>
      </c>
      <c r="P2" t="s">
        <v>1148</v>
      </c>
      <c r="R2">
        <f t="shared" ref="R2:R33" si="0">YEAR(B2)</f>
        <v>2026</v>
      </c>
      <c r="S2">
        <f t="shared" ref="S2:S33" si="1">MONTH(B2)</f>
        <v>1</v>
      </c>
      <c r="T2">
        <f>IF(OR(O2="Cancelada",O2="Devolvida"),0,IF('03_DASHBOARD'!$B$5="Todos",1,IF(R2=VALUE('03_DASHBOARD'!$B$5),1,0))*IF('03_DASHBOARD'!$D$5="Todos",1,IF(S2=VLOOKUP('03_DASHBOARD'!$D$5,Listas_Dashboard!$A$2:$B$13,2,FALSE()),1,0))*IF('03_DASHBOARD'!$F$5="Todos",1,IF(N2='03_DASHBOARD'!$F$5,1,0))*IF('03_DASHBOARD'!$H$5="Todos",1,IF(H2='03_DASHBOARD'!$H$5,1,0))*IF('03_DASHBOARD'!$J$5="Todos",1,IF(M2='03_DASHBOARD'!$J$5,1,0)))</f>
        <v>1</v>
      </c>
      <c r="U2">
        <f>IF(T2=1,IF(COUNTIFS($C$2:C2,C2,$T$2:T2,1)=1,1,0),0)</f>
        <v>1</v>
      </c>
    </row>
    <row r="3" spans="1:21" ht="15" customHeight="1">
      <c r="A3" t="s">
        <v>953</v>
      </c>
      <c r="B3" s="2">
        <v>46025</v>
      </c>
      <c r="C3" t="s">
        <v>405</v>
      </c>
      <c r="D3" t="s">
        <v>406</v>
      </c>
      <c r="E3" t="s">
        <v>407</v>
      </c>
      <c r="F3" t="s">
        <v>26</v>
      </c>
      <c r="G3" t="s">
        <v>27</v>
      </c>
      <c r="H3" t="s">
        <v>13</v>
      </c>
      <c r="I3">
        <v>1</v>
      </c>
      <c r="J3" s="1">
        <v>850</v>
      </c>
      <c r="K3" s="8">
        <v>5</v>
      </c>
      <c r="L3" s="1">
        <v>807.5</v>
      </c>
      <c r="M3" t="s">
        <v>954</v>
      </c>
      <c r="N3" t="s">
        <v>404</v>
      </c>
      <c r="O3" t="s">
        <v>951</v>
      </c>
      <c r="P3" t="s">
        <v>1148</v>
      </c>
      <c r="R3">
        <f t="shared" si="0"/>
        <v>2026</v>
      </c>
      <c r="S3">
        <f t="shared" si="1"/>
        <v>1</v>
      </c>
      <c r="T3">
        <f>IF(OR(O3="Cancelada",O3="Devolvida"),0,IF('03_DASHBOARD'!$B$5="Todos",1,IF(R3=VALUE('03_DASHBOARD'!$B$5),1,0))*IF('03_DASHBOARD'!$D$5="Todos",1,IF(S3=VLOOKUP('03_DASHBOARD'!$D$5,Listas_Dashboard!$A$2:$B$13,2,FALSE()),1,0))*IF('03_DASHBOARD'!$F$5="Todos",1,IF(N3='03_DASHBOARD'!$F$5,1,0))*IF('03_DASHBOARD'!$H$5="Todos",1,IF(H3='03_DASHBOARD'!$H$5,1,0))*IF('03_DASHBOARD'!$J$5="Todos",1,IF(M3='03_DASHBOARD'!$J$5,1,0)))</f>
        <v>1</v>
      </c>
      <c r="U3">
        <f>IF(T3=1,IF(COUNTIFS($C$2:C3,C3,$T$2:T3,1)=1,1,0),0)</f>
        <v>1</v>
      </c>
    </row>
    <row r="4" spans="1:21" ht="15" customHeight="1">
      <c r="A4" t="s">
        <v>956</v>
      </c>
      <c r="B4" s="2">
        <v>46026</v>
      </c>
      <c r="C4" t="s">
        <v>412</v>
      </c>
      <c r="D4" t="s">
        <v>413</v>
      </c>
      <c r="E4" t="s">
        <v>414</v>
      </c>
      <c r="F4" t="s">
        <v>22</v>
      </c>
      <c r="G4" t="s">
        <v>23</v>
      </c>
      <c r="H4" t="s">
        <v>19</v>
      </c>
      <c r="I4">
        <v>5</v>
      </c>
      <c r="J4" s="1">
        <v>25</v>
      </c>
      <c r="K4" s="8">
        <v>0</v>
      </c>
      <c r="L4" s="1">
        <v>125</v>
      </c>
      <c r="M4" t="s">
        <v>950</v>
      </c>
      <c r="N4" t="s">
        <v>536</v>
      </c>
      <c r="O4" t="s">
        <v>951</v>
      </c>
      <c r="P4" t="s">
        <v>1148</v>
      </c>
      <c r="R4">
        <f t="shared" si="0"/>
        <v>2026</v>
      </c>
      <c r="S4">
        <f t="shared" si="1"/>
        <v>1</v>
      </c>
      <c r="T4">
        <f>IF(OR(O4="Cancelada",O4="Devolvida"),0,IF('03_DASHBOARD'!$B$5="Todos",1,IF(R4=VALUE('03_DASHBOARD'!$B$5),1,0))*IF('03_DASHBOARD'!$D$5="Todos",1,IF(S4=VLOOKUP('03_DASHBOARD'!$D$5,Listas_Dashboard!$A$2:$B$13,2,FALSE()),1,0))*IF('03_DASHBOARD'!$F$5="Todos",1,IF(N4='03_DASHBOARD'!$F$5,1,0))*IF('03_DASHBOARD'!$H$5="Todos",1,IF(H4='03_DASHBOARD'!$H$5,1,0))*IF('03_DASHBOARD'!$J$5="Todos",1,IF(M4='03_DASHBOARD'!$J$5,1,0)))</f>
        <v>1</v>
      </c>
      <c r="U4">
        <f>IF(T4=1,IF(COUNTIFS($C$2:C4,C4,$T$2:T4,1)=1,1,0),0)</f>
        <v>1</v>
      </c>
    </row>
    <row r="5" spans="1:21" ht="15" customHeight="1">
      <c r="A5" t="s">
        <v>958</v>
      </c>
      <c r="B5" s="2">
        <v>46027</v>
      </c>
      <c r="C5" t="s">
        <v>418</v>
      </c>
      <c r="D5" t="s">
        <v>419</v>
      </c>
      <c r="E5" t="s">
        <v>420</v>
      </c>
      <c r="F5" t="s">
        <v>17</v>
      </c>
      <c r="G5" t="s">
        <v>18</v>
      </c>
      <c r="H5" t="s">
        <v>19</v>
      </c>
      <c r="I5">
        <v>3</v>
      </c>
      <c r="J5" s="1">
        <v>75</v>
      </c>
      <c r="K5" s="8">
        <v>10</v>
      </c>
      <c r="L5" s="1">
        <v>202.5</v>
      </c>
      <c r="M5" t="s">
        <v>959</v>
      </c>
      <c r="N5" t="s">
        <v>404</v>
      </c>
      <c r="O5" t="s">
        <v>951</v>
      </c>
      <c r="P5" t="s">
        <v>1148</v>
      </c>
      <c r="R5">
        <f t="shared" si="0"/>
        <v>2026</v>
      </c>
      <c r="S5">
        <f t="shared" si="1"/>
        <v>1</v>
      </c>
      <c r="T5">
        <f>IF(OR(O5="Cancelada",O5="Devolvida"),0,IF('03_DASHBOARD'!$B$5="Todos",1,IF(R5=VALUE('03_DASHBOARD'!$B$5),1,0))*IF('03_DASHBOARD'!$D$5="Todos",1,IF(S5=VLOOKUP('03_DASHBOARD'!$D$5,Listas_Dashboard!$A$2:$B$13,2,FALSE()),1,0))*IF('03_DASHBOARD'!$F$5="Todos",1,IF(N5='03_DASHBOARD'!$F$5,1,0))*IF('03_DASHBOARD'!$H$5="Todos",1,IF(H5='03_DASHBOARD'!$H$5,1,0))*IF('03_DASHBOARD'!$J$5="Todos",1,IF(M5='03_DASHBOARD'!$J$5,1,0)))</f>
        <v>1</v>
      </c>
      <c r="U5">
        <f>IF(T5=1,IF(COUNTIFS($C$2:C5,C5,$T$2:T5,1)=1,1,0),0)</f>
        <v>1</v>
      </c>
    </row>
    <row r="6" spans="1:21" ht="15" customHeight="1">
      <c r="A6" t="s">
        <v>960</v>
      </c>
      <c r="B6" s="2">
        <v>46028</v>
      </c>
      <c r="C6" t="s">
        <v>424</v>
      </c>
      <c r="D6" t="s">
        <v>425</v>
      </c>
      <c r="E6" t="s">
        <v>426</v>
      </c>
      <c r="F6" t="s">
        <v>29</v>
      </c>
      <c r="G6" t="s">
        <v>30</v>
      </c>
      <c r="H6" t="s">
        <v>19</v>
      </c>
      <c r="I6">
        <v>2</v>
      </c>
      <c r="J6" s="1">
        <v>60</v>
      </c>
      <c r="K6" s="8">
        <v>0</v>
      </c>
      <c r="L6" s="1">
        <v>120</v>
      </c>
      <c r="M6" t="s">
        <v>950</v>
      </c>
      <c r="N6" t="s">
        <v>411</v>
      </c>
      <c r="O6" t="s">
        <v>961</v>
      </c>
      <c r="P6" t="s">
        <v>1149</v>
      </c>
      <c r="Q6" t="s">
        <v>963</v>
      </c>
      <c r="R6">
        <f t="shared" si="0"/>
        <v>2026</v>
      </c>
      <c r="S6">
        <f t="shared" si="1"/>
        <v>1</v>
      </c>
      <c r="T6">
        <f>IF(OR(O6="Cancelada",O6="Devolvida"),0,IF('03_DASHBOARD'!$B$5="Todos",1,IF(R6=VALUE('03_DASHBOARD'!$B$5),1,0))*IF('03_DASHBOARD'!$D$5="Todos",1,IF(S6=VLOOKUP('03_DASHBOARD'!$D$5,Listas_Dashboard!$A$2:$B$13,2,FALSE()),1,0))*IF('03_DASHBOARD'!$F$5="Todos",1,IF(N6='03_DASHBOARD'!$F$5,1,0))*IF('03_DASHBOARD'!$H$5="Todos",1,IF(H6='03_DASHBOARD'!$H$5,1,0))*IF('03_DASHBOARD'!$J$5="Todos",1,IF(M6='03_DASHBOARD'!$J$5,1,0)))</f>
        <v>0</v>
      </c>
      <c r="U6">
        <f>IF(T6=1,IF(COUNTIFS($C$2:C6,C6,$T$2:T6,1)=1,1,0),0)</f>
        <v>0</v>
      </c>
    </row>
    <row r="7" spans="1:21" ht="15" customHeight="1">
      <c r="A7" t="s">
        <v>964</v>
      </c>
      <c r="B7" s="2">
        <v>46029</v>
      </c>
      <c r="C7" t="s">
        <v>429</v>
      </c>
      <c r="D7" t="s">
        <v>430</v>
      </c>
      <c r="E7" t="s">
        <v>431</v>
      </c>
      <c r="F7" t="s">
        <v>33</v>
      </c>
      <c r="G7" t="s">
        <v>34</v>
      </c>
      <c r="H7" t="s">
        <v>35</v>
      </c>
      <c r="I7">
        <v>4</v>
      </c>
      <c r="J7" s="1">
        <v>120</v>
      </c>
      <c r="K7" s="8">
        <v>0</v>
      </c>
      <c r="L7" s="1">
        <v>480</v>
      </c>
      <c r="M7" t="s">
        <v>954</v>
      </c>
      <c r="N7" t="s">
        <v>404</v>
      </c>
      <c r="O7" t="s">
        <v>951</v>
      </c>
      <c r="P7" t="s">
        <v>1148</v>
      </c>
      <c r="R7">
        <f t="shared" si="0"/>
        <v>2026</v>
      </c>
      <c r="S7">
        <f t="shared" si="1"/>
        <v>1</v>
      </c>
      <c r="T7">
        <f>IF(OR(O7="Cancelada",O7="Devolvida"),0,IF('03_DASHBOARD'!$B$5="Todos",1,IF(R7=VALUE('03_DASHBOARD'!$B$5),1,0))*IF('03_DASHBOARD'!$D$5="Todos",1,IF(S7=VLOOKUP('03_DASHBOARD'!$D$5,Listas_Dashboard!$A$2:$B$13,2,FALSE()),1,0))*IF('03_DASHBOARD'!$F$5="Todos",1,IF(N7='03_DASHBOARD'!$F$5,1,0))*IF('03_DASHBOARD'!$H$5="Todos",1,IF(H7='03_DASHBOARD'!$H$5,1,0))*IF('03_DASHBOARD'!$J$5="Todos",1,IF(M7='03_DASHBOARD'!$J$5,1,0)))</f>
        <v>1</v>
      </c>
      <c r="U7">
        <f>IF(T7=1,IF(COUNTIFS($C$2:C7,C7,$T$2:T7,1)=1,1,0),0)</f>
        <v>1</v>
      </c>
    </row>
    <row r="8" spans="1:21" ht="15" customHeight="1">
      <c r="A8" t="s">
        <v>966</v>
      </c>
      <c r="B8" s="2">
        <v>46030</v>
      </c>
      <c r="C8" t="s">
        <v>435</v>
      </c>
      <c r="D8" t="s">
        <v>436</v>
      </c>
      <c r="E8" t="s">
        <v>401</v>
      </c>
      <c r="F8" t="s">
        <v>38</v>
      </c>
      <c r="G8" t="s">
        <v>39</v>
      </c>
      <c r="H8" t="s">
        <v>35</v>
      </c>
      <c r="I8">
        <v>2</v>
      </c>
      <c r="J8" s="1">
        <v>120</v>
      </c>
      <c r="K8" s="8">
        <v>0</v>
      </c>
      <c r="L8" s="1">
        <v>240</v>
      </c>
      <c r="M8" t="s">
        <v>950</v>
      </c>
      <c r="N8" t="s">
        <v>536</v>
      </c>
      <c r="O8" t="s">
        <v>951</v>
      </c>
      <c r="P8" t="s">
        <v>1148</v>
      </c>
      <c r="R8">
        <f t="shared" si="0"/>
        <v>2026</v>
      </c>
      <c r="S8">
        <f t="shared" si="1"/>
        <v>1</v>
      </c>
      <c r="T8">
        <f>IF(OR(O8="Cancelada",O8="Devolvida"),0,IF('03_DASHBOARD'!$B$5="Todos",1,IF(R8=VALUE('03_DASHBOARD'!$B$5),1,0))*IF('03_DASHBOARD'!$D$5="Todos",1,IF(S8=VLOOKUP('03_DASHBOARD'!$D$5,Listas_Dashboard!$A$2:$B$13,2,FALSE()),1,0))*IF('03_DASHBOARD'!$F$5="Todos",1,IF(N8='03_DASHBOARD'!$F$5,1,0))*IF('03_DASHBOARD'!$H$5="Todos",1,IF(H8='03_DASHBOARD'!$H$5,1,0))*IF('03_DASHBOARD'!$J$5="Todos",1,IF(M8='03_DASHBOARD'!$J$5,1,0)))</f>
        <v>1</v>
      </c>
      <c r="U8">
        <f>IF(T8=1,IF(COUNTIFS($C$2:C8,C8,$T$2:T8,1)=1,1,0),0)</f>
        <v>1</v>
      </c>
    </row>
    <row r="9" spans="1:21" ht="15" customHeight="1">
      <c r="A9" t="s">
        <v>967</v>
      </c>
      <c r="B9" s="2">
        <v>46031</v>
      </c>
      <c r="C9" t="s">
        <v>440</v>
      </c>
      <c r="D9" t="s">
        <v>441</v>
      </c>
      <c r="E9" t="s">
        <v>407</v>
      </c>
      <c r="F9" t="s">
        <v>41</v>
      </c>
      <c r="G9" t="s">
        <v>42</v>
      </c>
      <c r="H9" t="s">
        <v>35</v>
      </c>
      <c r="I9">
        <v>1</v>
      </c>
      <c r="J9" s="1">
        <v>119.99</v>
      </c>
      <c r="K9" s="8">
        <v>0</v>
      </c>
      <c r="L9" s="1">
        <v>119.99</v>
      </c>
      <c r="M9" t="s">
        <v>959</v>
      </c>
      <c r="N9" t="s">
        <v>404</v>
      </c>
      <c r="O9" t="s">
        <v>951</v>
      </c>
      <c r="P9" t="s">
        <v>1148</v>
      </c>
      <c r="R9">
        <f t="shared" si="0"/>
        <v>2026</v>
      </c>
      <c r="S9">
        <f t="shared" si="1"/>
        <v>1</v>
      </c>
      <c r="T9">
        <f>IF(OR(O9="Cancelada",O9="Devolvida"),0,IF('03_DASHBOARD'!$B$5="Todos",1,IF(R9=VALUE('03_DASHBOARD'!$B$5),1,0))*IF('03_DASHBOARD'!$D$5="Todos",1,IF(S9=VLOOKUP('03_DASHBOARD'!$D$5,Listas_Dashboard!$A$2:$B$13,2,FALSE()),1,0))*IF('03_DASHBOARD'!$F$5="Todos",1,IF(N9='03_DASHBOARD'!$F$5,1,0))*IF('03_DASHBOARD'!$H$5="Todos",1,IF(H9='03_DASHBOARD'!$H$5,1,0))*IF('03_DASHBOARD'!$J$5="Todos",1,IF(M9='03_DASHBOARD'!$J$5,1,0)))</f>
        <v>1</v>
      </c>
      <c r="U9">
        <f>IF(T9=1,IF(COUNTIFS($C$2:C9,C9,$T$2:T9,1)=1,1,0),0)</f>
        <v>1</v>
      </c>
    </row>
    <row r="10" spans="1:21" ht="15" customHeight="1">
      <c r="A10" t="s">
        <v>968</v>
      </c>
      <c r="B10" s="2">
        <v>46032</v>
      </c>
      <c r="C10" t="s">
        <v>444</v>
      </c>
      <c r="D10" t="s">
        <v>445</v>
      </c>
      <c r="E10" t="s">
        <v>414</v>
      </c>
      <c r="F10" t="s">
        <v>43</v>
      </c>
      <c r="G10" t="s">
        <v>44</v>
      </c>
      <c r="H10" t="s">
        <v>45</v>
      </c>
      <c r="I10">
        <v>1</v>
      </c>
      <c r="J10" s="1">
        <v>210</v>
      </c>
      <c r="K10" s="8">
        <v>0</v>
      </c>
      <c r="L10" s="1">
        <v>210</v>
      </c>
      <c r="M10" t="s">
        <v>969</v>
      </c>
      <c r="N10" t="s">
        <v>411</v>
      </c>
      <c r="O10" t="s">
        <v>951</v>
      </c>
      <c r="P10" t="s">
        <v>1148</v>
      </c>
      <c r="R10">
        <f t="shared" si="0"/>
        <v>2026</v>
      </c>
      <c r="S10">
        <f t="shared" si="1"/>
        <v>1</v>
      </c>
      <c r="T10">
        <f>IF(OR(O10="Cancelada",O10="Devolvida"),0,IF('03_DASHBOARD'!$B$5="Todos",1,IF(R10=VALUE('03_DASHBOARD'!$B$5),1,0))*IF('03_DASHBOARD'!$D$5="Todos",1,IF(S10=VLOOKUP('03_DASHBOARD'!$D$5,Listas_Dashboard!$A$2:$B$13,2,FALSE()),1,0))*IF('03_DASHBOARD'!$F$5="Todos",1,IF(N10='03_DASHBOARD'!$F$5,1,0))*IF('03_DASHBOARD'!$H$5="Todos",1,IF(H10='03_DASHBOARD'!$H$5,1,0))*IF('03_DASHBOARD'!$J$5="Todos",1,IF(M10='03_DASHBOARD'!$J$5,1,0)))</f>
        <v>1</v>
      </c>
      <c r="U10">
        <f>IF(T10=1,IF(COUNTIFS($C$2:C10,C10,$T$2:T10,1)=1,1,0),0)</f>
        <v>1</v>
      </c>
    </row>
    <row r="11" spans="1:21" ht="15" customHeight="1">
      <c r="A11" t="s">
        <v>970</v>
      </c>
      <c r="B11" s="2">
        <v>46033</v>
      </c>
      <c r="C11" t="s">
        <v>448</v>
      </c>
      <c r="D11" t="s">
        <v>449</v>
      </c>
      <c r="E11" t="s">
        <v>420</v>
      </c>
      <c r="F11" t="s">
        <v>48</v>
      </c>
      <c r="G11" t="s">
        <v>49</v>
      </c>
      <c r="H11" t="s">
        <v>45</v>
      </c>
      <c r="I11">
        <v>6</v>
      </c>
      <c r="J11" s="1">
        <v>35</v>
      </c>
      <c r="K11" s="8">
        <v>15</v>
      </c>
      <c r="L11" s="1">
        <v>178.5</v>
      </c>
      <c r="M11" t="s">
        <v>954</v>
      </c>
      <c r="N11" t="s">
        <v>404</v>
      </c>
      <c r="O11" t="s">
        <v>951</v>
      </c>
      <c r="P11" t="s">
        <v>1148</v>
      </c>
      <c r="R11">
        <f t="shared" si="0"/>
        <v>2026</v>
      </c>
      <c r="S11">
        <f t="shared" si="1"/>
        <v>1</v>
      </c>
      <c r="T11">
        <f>IF(OR(O11="Cancelada",O11="Devolvida"),0,IF('03_DASHBOARD'!$B$5="Todos",1,IF(R11=VALUE('03_DASHBOARD'!$B$5),1,0))*IF('03_DASHBOARD'!$D$5="Todos",1,IF(S11=VLOOKUP('03_DASHBOARD'!$D$5,Listas_Dashboard!$A$2:$B$13,2,FALSE()),1,0))*IF('03_DASHBOARD'!$F$5="Todos",1,IF(N11='03_DASHBOARD'!$F$5,1,0))*IF('03_DASHBOARD'!$H$5="Todos",1,IF(H11='03_DASHBOARD'!$H$5,1,0))*IF('03_DASHBOARD'!$J$5="Todos",1,IF(M11='03_DASHBOARD'!$J$5,1,0)))</f>
        <v>1</v>
      </c>
      <c r="U11">
        <f>IF(T11=1,IF(COUNTIFS($C$2:C11,C11,$T$2:T11,1)=1,1,0),0)</f>
        <v>1</v>
      </c>
    </row>
    <row r="12" spans="1:21" ht="15" customHeight="1">
      <c r="A12" t="s">
        <v>971</v>
      </c>
      <c r="B12" s="2">
        <v>46034</v>
      </c>
      <c r="C12" t="s">
        <v>453</v>
      </c>
      <c r="D12" t="s">
        <v>454</v>
      </c>
      <c r="E12" t="s">
        <v>401</v>
      </c>
      <c r="F12" t="s">
        <v>51</v>
      </c>
      <c r="G12" t="s">
        <v>52</v>
      </c>
      <c r="H12" t="s">
        <v>53</v>
      </c>
      <c r="I12">
        <v>2</v>
      </c>
      <c r="J12" s="1">
        <v>95</v>
      </c>
      <c r="K12" s="8">
        <v>0</v>
      </c>
      <c r="L12" s="1">
        <v>190</v>
      </c>
      <c r="M12" t="s">
        <v>950</v>
      </c>
      <c r="N12" t="s">
        <v>536</v>
      </c>
      <c r="O12" t="s">
        <v>951</v>
      </c>
      <c r="P12" t="s">
        <v>1148</v>
      </c>
      <c r="R12">
        <f t="shared" si="0"/>
        <v>2026</v>
      </c>
      <c r="S12">
        <f t="shared" si="1"/>
        <v>1</v>
      </c>
      <c r="T12">
        <f>IF(OR(O12="Cancelada",O12="Devolvida"),0,IF('03_DASHBOARD'!$B$5="Todos",1,IF(R12=VALUE('03_DASHBOARD'!$B$5),1,0))*IF('03_DASHBOARD'!$D$5="Todos",1,IF(S12=VLOOKUP('03_DASHBOARD'!$D$5,Listas_Dashboard!$A$2:$B$13,2,FALSE()),1,0))*IF('03_DASHBOARD'!$F$5="Todos",1,IF(N12='03_DASHBOARD'!$F$5,1,0))*IF('03_DASHBOARD'!$H$5="Todos",1,IF(H12='03_DASHBOARD'!$H$5,1,0))*IF('03_DASHBOARD'!$J$5="Todos",1,IF(M12='03_DASHBOARD'!$J$5,1,0)))</f>
        <v>1</v>
      </c>
      <c r="U12">
        <f>IF(T12=1,IF(COUNTIFS($C$2:C12,C12,$T$2:T12,1)=1,1,0),0)</f>
        <v>1</v>
      </c>
    </row>
    <row r="13" spans="1:21" ht="15" customHeight="1">
      <c r="A13" t="s">
        <v>972</v>
      </c>
      <c r="B13" s="2">
        <v>46035</v>
      </c>
      <c r="C13" t="s">
        <v>457</v>
      </c>
      <c r="D13" t="s">
        <v>458</v>
      </c>
      <c r="E13" t="s">
        <v>459</v>
      </c>
      <c r="F13" t="s">
        <v>56</v>
      </c>
      <c r="G13" t="s">
        <v>57</v>
      </c>
      <c r="H13" t="s">
        <v>53</v>
      </c>
      <c r="I13">
        <v>1</v>
      </c>
      <c r="J13" s="1">
        <v>70</v>
      </c>
      <c r="K13" s="8">
        <v>0</v>
      </c>
      <c r="L13" s="1">
        <v>70</v>
      </c>
      <c r="M13" t="s">
        <v>959</v>
      </c>
      <c r="N13" t="s">
        <v>404</v>
      </c>
      <c r="O13" t="s">
        <v>951</v>
      </c>
      <c r="P13" t="s">
        <v>1148</v>
      </c>
      <c r="R13">
        <f t="shared" si="0"/>
        <v>2026</v>
      </c>
      <c r="S13">
        <f t="shared" si="1"/>
        <v>1</v>
      </c>
      <c r="T13">
        <f>IF(OR(O13="Cancelada",O13="Devolvida"),0,IF('03_DASHBOARD'!$B$5="Todos",1,IF(R13=VALUE('03_DASHBOARD'!$B$5),1,0))*IF('03_DASHBOARD'!$D$5="Todos",1,IF(S13=VLOOKUP('03_DASHBOARD'!$D$5,Listas_Dashboard!$A$2:$B$13,2,FALSE()),1,0))*IF('03_DASHBOARD'!$F$5="Todos",1,IF(N13='03_DASHBOARD'!$F$5,1,0))*IF('03_DASHBOARD'!$H$5="Todos",1,IF(H13='03_DASHBOARD'!$H$5,1,0))*IF('03_DASHBOARD'!$J$5="Todos",1,IF(M13='03_DASHBOARD'!$J$5,1,0)))</f>
        <v>1</v>
      </c>
      <c r="U13">
        <f>IF(T13=1,IF(COUNTIFS($C$2:C13,C13,$T$2:T13,1)=1,1,0),0)</f>
        <v>1</v>
      </c>
    </row>
    <row r="14" spans="1:21" ht="15" customHeight="1">
      <c r="A14" t="s">
        <v>973</v>
      </c>
      <c r="B14" s="2">
        <v>46036</v>
      </c>
      <c r="C14" t="s">
        <v>463</v>
      </c>
      <c r="D14" t="s">
        <v>464</v>
      </c>
      <c r="E14" t="s">
        <v>465</v>
      </c>
      <c r="F14" t="s">
        <v>59</v>
      </c>
      <c r="G14" t="s">
        <v>60</v>
      </c>
      <c r="H14" t="s">
        <v>61</v>
      </c>
      <c r="I14">
        <v>10</v>
      </c>
      <c r="J14" s="1">
        <v>12</v>
      </c>
      <c r="K14" s="8">
        <v>0</v>
      </c>
      <c r="L14" s="1">
        <v>120</v>
      </c>
      <c r="M14" t="s">
        <v>950</v>
      </c>
      <c r="N14" t="s">
        <v>411</v>
      </c>
      <c r="O14" t="s">
        <v>951</v>
      </c>
      <c r="P14" t="s">
        <v>1148</v>
      </c>
      <c r="R14">
        <f t="shared" si="0"/>
        <v>2026</v>
      </c>
      <c r="S14">
        <f t="shared" si="1"/>
        <v>1</v>
      </c>
      <c r="T14">
        <f>IF(OR(O14="Cancelada",O14="Devolvida"),0,IF('03_DASHBOARD'!$B$5="Todos",1,IF(R14=VALUE('03_DASHBOARD'!$B$5),1,0))*IF('03_DASHBOARD'!$D$5="Todos",1,IF(S14=VLOOKUP('03_DASHBOARD'!$D$5,Listas_Dashboard!$A$2:$B$13,2,FALSE()),1,0))*IF('03_DASHBOARD'!$F$5="Todos",1,IF(N14='03_DASHBOARD'!$F$5,1,0))*IF('03_DASHBOARD'!$H$5="Todos",1,IF(H14='03_DASHBOARD'!$H$5,1,0))*IF('03_DASHBOARD'!$J$5="Todos",1,IF(M14='03_DASHBOARD'!$J$5,1,0)))</f>
        <v>1</v>
      </c>
      <c r="U14">
        <f>IF(T14=1,IF(COUNTIFS($C$2:C14,C14,$T$2:T14,1)=1,1,0),0)</f>
        <v>1</v>
      </c>
    </row>
    <row r="15" spans="1:21" ht="15" customHeight="1">
      <c r="A15" t="s">
        <v>974</v>
      </c>
      <c r="B15" s="2">
        <v>46037</v>
      </c>
      <c r="C15" t="s">
        <v>468</v>
      </c>
      <c r="D15" t="s">
        <v>469</v>
      </c>
      <c r="E15" t="s">
        <v>470</v>
      </c>
      <c r="F15" t="s">
        <v>64</v>
      </c>
      <c r="G15" t="s">
        <v>65</v>
      </c>
      <c r="H15" t="s">
        <v>61</v>
      </c>
      <c r="I15">
        <v>8</v>
      </c>
      <c r="J15" s="1">
        <v>12</v>
      </c>
      <c r="K15" s="8">
        <v>0</v>
      </c>
      <c r="L15" s="1">
        <v>96</v>
      </c>
      <c r="M15" t="s">
        <v>954</v>
      </c>
      <c r="N15" t="s">
        <v>404</v>
      </c>
      <c r="O15" t="s">
        <v>951</v>
      </c>
      <c r="P15" t="s">
        <v>1148</v>
      </c>
      <c r="R15">
        <f t="shared" si="0"/>
        <v>2026</v>
      </c>
      <c r="S15">
        <f t="shared" si="1"/>
        <v>1</v>
      </c>
      <c r="T15">
        <f>IF(OR(O15="Cancelada",O15="Devolvida"),0,IF('03_DASHBOARD'!$B$5="Todos",1,IF(R15=VALUE('03_DASHBOARD'!$B$5),1,0))*IF('03_DASHBOARD'!$D$5="Todos",1,IF(S15=VLOOKUP('03_DASHBOARD'!$D$5,Listas_Dashboard!$A$2:$B$13,2,FALSE()),1,0))*IF('03_DASHBOARD'!$F$5="Todos",1,IF(N15='03_DASHBOARD'!$F$5,1,0))*IF('03_DASHBOARD'!$H$5="Todos",1,IF(H15='03_DASHBOARD'!$H$5,1,0))*IF('03_DASHBOARD'!$J$5="Todos",1,IF(M15='03_DASHBOARD'!$J$5,1,0)))</f>
        <v>1</v>
      </c>
      <c r="U15">
        <f>IF(T15=1,IF(COUNTIFS($C$2:C15,C15,$T$2:T15,1)=1,1,0),0)</f>
        <v>1</v>
      </c>
    </row>
    <row r="16" spans="1:21" ht="15" customHeight="1">
      <c r="A16" t="s">
        <v>975</v>
      </c>
      <c r="B16" s="2">
        <v>46038</v>
      </c>
      <c r="C16" t="s">
        <v>473</v>
      </c>
      <c r="D16" t="s">
        <v>474</v>
      </c>
      <c r="E16" t="s">
        <v>407</v>
      </c>
      <c r="F16" t="s">
        <v>68</v>
      </c>
      <c r="G16" t="s">
        <v>69</v>
      </c>
      <c r="H16" t="s">
        <v>35</v>
      </c>
      <c r="I16">
        <v>3</v>
      </c>
      <c r="J16" s="1">
        <v>15</v>
      </c>
      <c r="K16" s="8">
        <v>0</v>
      </c>
      <c r="L16" s="1">
        <v>45</v>
      </c>
      <c r="M16" t="s">
        <v>950</v>
      </c>
      <c r="N16" t="s">
        <v>404</v>
      </c>
      <c r="O16" t="s">
        <v>951</v>
      </c>
      <c r="P16" t="s">
        <v>1148</v>
      </c>
      <c r="R16">
        <f t="shared" si="0"/>
        <v>2026</v>
      </c>
      <c r="S16">
        <f t="shared" si="1"/>
        <v>1</v>
      </c>
      <c r="T16">
        <f>IF(OR(O16="Cancelada",O16="Devolvida"),0,IF('03_DASHBOARD'!$B$5="Todos",1,IF(R16=VALUE('03_DASHBOARD'!$B$5),1,0))*IF('03_DASHBOARD'!$D$5="Todos",1,IF(S16=VLOOKUP('03_DASHBOARD'!$D$5,Listas_Dashboard!$A$2:$B$13,2,FALSE()),1,0))*IF('03_DASHBOARD'!$F$5="Todos",1,IF(N16='03_DASHBOARD'!$F$5,1,0))*IF('03_DASHBOARD'!$H$5="Todos",1,IF(H16='03_DASHBOARD'!$H$5,1,0))*IF('03_DASHBOARD'!$J$5="Todos",1,IF(M16='03_DASHBOARD'!$J$5,1,0)))</f>
        <v>1</v>
      </c>
      <c r="U16">
        <f>IF(T16=1,IF(COUNTIFS($C$2:C16,C16,$T$2:T16,1)=1,1,0),0)</f>
        <v>1</v>
      </c>
    </row>
    <row r="17" spans="1:21" ht="15" customHeight="1">
      <c r="A17" t="s">
        <v>976</v>
      </c>
      <c r="B17" s="2">
        <v>46039</v>
      </c>
      <c r="C17" t="s">
        <v>477</v>
      </c>
      <c r="D17" t="s">
        <v>478</v>
      </c>
      <c r="E17" t="s">
        <v>479</v>
      </c>
      <c r="F17" t="s">
        <v>73</v>
      </c>
      <c r="G17" t="s">
        <v>74</v>
      </c>
      <c r="H17" t="s">
        <v>35</v>
      </c>
      <c r="I17">
        <v>-2</v>
      </c>
      <c r="J17" s="1">
        <v>15</v>
      </c>
      <c r="K17" s="8">
        <v>0</v>
      </c>
      <c r="L17" s="1">
        <v>-30</v>
      </c>
      <c r="M17" t="s">
        <v>959</v>
      </c>
      <c r="N17" t="s">
        <v>411</v>
      </c>
      <c r="O17" t="s">
        <v>951</v>
      </c>
      <c r="P17" t="s">
        <v>1148</v>
      </c>
      <c r="Q17" t="s">
        <v>977</v>
      </c>
      <c r="R17">
        <f t="shared" si="0"/>
        <v>2026</v>
      </c>
      <c r="S17">
        <f t="shared" si="1"/>
        <v>1</v>
      </c>
      <c r="T17">
        <f>IF(OR(O17="Cancelada",O17="Devolvida"),0,IF('03_DASHBOARD'!$B$5="Todos",1,IF(R17=VALUE('03_DASHBOARD'!$B$5),1,0))*IF('03_DASHBOARD'!$D$5="Todos",1,IF(S17=VLOOKUP('03_DASHBOARD'!$D$5,Listas_Dashboard!$A$2:$B$13,2,FALSE()),1,0))*IF('03_DASHBOARD'!$F$5="Todos",1,IF(N17='03_DASHBOARD'!$F$5,1,0))*IF('03_DASHBOARD'!$H$5="Todos",1,IF(H17='03_DASHBOARD'!$H$5,1,0))*IF('03_DASHBOARD'!$J$5="Todos",1,IF(M17='03_DASHBOARD'!$J$5,1,0)))</f>
        <v>1</v>
      </c>
      <c r="U17">
        <f>IF(T17=1,IF(COUNTIFS($C$2:C17,C17,$T$2:T17,1)=1,1,0),0)</f>
        <v>1</v>
      </c>
    </row>
    <row r="18" spans="1:21" ht="15" customHeight="1">
      <c r="A18" t="s">
        <v>978</v>
      </c>
      <c r="B18" s="2">
        <v>46040</v>
      </c>
      <c r="C18" t="s">
        <v>483</v>
      </c>
      <c r="D18" t="s">
        <v>484</v>
      </c>
      <c r="E18" t="s">
        <v>401</v>
      </c>
      <c r="F18" t="s">
        <v>76</v>
      </c>
      <c r="G18" t="s">
        <v>77</v>
      </c>
      <c r="H18" t="s">
        <v>19</v>
      </c>
      <c r="I18">
        <v>2</v>
      </c>
      <c r="J18" s="1">
        <v>55</v>
      </c>
      <c r="K18" s="8">
        <v>0</v>
      </c>
      <c r="L18" s="1">
        <v>110</v>
      </c>
      <c r="M18" t="s">
        <v>954</v>
      </c>
      <c r="N18" t="s">
        <v>404</v>
      </c>
      <c r="O18" t="s">
        <v>951</v>
      </c>
      <c r="P18" t="s">
        <v>1148</v>
      </c>
      <c r="R18">
        <f t="shared" si="0"/>
        <v>2026</v>
      </c>
      <c r="S18">
        <f t="shared" si="1"/>
        <v>1</v>
      </c>
      <c r="T18">
        <f>IF(OR(O18="Cancelada",O18="Devolvida"),0,IF('03_DASHBOARD'!$B$5="Todos",1,IF(R18=VALUE('03_DASHBOARD'!$B$5),1,0))*IF('03_DASHBOARD'!$D$5="Todos",1,IF(S18=VLOOKUP('03_DASHBOARD'!$D$5,Listas_Dashboard!$A$2:$B$13,2,FALSE()),1,0))*IF('03_DASHBOARD'!$F$5="Todos",1,IF(N18='03_DASHBOARD'!$F$5,1,0))*IF('03_DASHBOARD'!$H$5="Todos",1,IF(H18='03_DASHBOARD'!$H$5,1,0))*IF('03_DASHBOARD'!$J$5="Todos",1,IF(M18='03_DASHBOARD'!$J$5,1,0)))</f>
        <v>1</v>
      </c>
      <c r="U18">
        <f>IF(T18=1,IF(COUNTIFS($C$2:C18,C18,$T$2:T18,1)=1,1,0),0)</f>
        <v>1</v>
      </c>
    </row>
    <row r="19" spans="1:21" ht="15" customHeight="1">
      <c r="A19" t="s">
        <v>979</v>
      </c>
      <c r="B19" s="2">
        <v>46041</v>
      </c>
      <c r="C19" t="s">
        <v>487</v>
      </c>
      <c r="D19" t="s">
        <v>488</v>
      </c>
      <c r="E19" t="s">
        <v>420</v>
      </c>
      <c r="F19" t="s">
        <v>80</v>
      </c>
      <c r="G19" t="s">
        <v>81</v>
      </c>
      <c r="H19" t="s">
        <v>82</v>
      </c>
      <c r="I19">
        <v>1</v>
      </c>
      <c r="J19" s="1">
        <v>80</v>
      </c>
      <c r="K19" s="8">
        <v>0</v>
      </c>
      <c r="L19" s="1">
        <v>80</v>
      </c>
      <c r="M19" t="s">
        <v>950</v>
      </c>
      <c r="N19" t="s">
        <v>536</v>
      </c>
      <c r="O19" t="s">
        <v>951</v>
      </c>
      <c r="P19" t="s">
        <v>1148</v>
      </c>
      <c r="R19">
        <f t="shared" si="0"/>
        <v>2026</v>
      </c>
      <c r="S19">
        <f t="shared" si="1"/>
        <v>1</v>
      </c>
      <c r="T19">
        <f>IF(OR(O19="Cancelada",O19="Devolvida"),0,IF('03_DASHBOARD'!$B$5="Todos",1,IF(R19=VALUE('03_DASHBOARD'!$B$5),1,0))*IF('03_DASHBOARD'!$D$5="Todos",1,IF(S19=VLOOKUP('03_DASHBOARD'!$D$5,Listas_Dashboard!$A$2:$B$13,2,FALSE()),1,0))*IF('03_DASHBOARD'!$F$5="Todos",1,IF(N19='03_DASHBOARD'!$F$5,1,0))*IF('03_DASHBOARD'!$H$5="Todos",1,IF(H19='03_DASHBOARD'!$H$5,1,0))*IF('03_DASHBOARD'!$J$5="Todos",1,IF(M19='03_DASHBOARD'!$J$5,1,0)))</f>
        <v>1</v>
      </c>
      <c r="U19">
        <f>IF(T19=1,IF(COUNTIFS($C$2:C19,C19,$T$2:T19,1)=1,1,0),0)</f>
        <v>1</v>
      </c>
    </row>
    <row r="20" spans="1:21" ht="15" customHeight="1">
      <c r="A20" t="s">
        <v>980</v>
      </c>
      <c r="B20" s="2">
        <v>46042</v>
      </c>
      <c r="C20" t="s">
        <v>491</v>
      </c>
      <c r="D20" t="s">
        <v>492</v>
      </c>
      <c r="E20" t="s">
        <v>414</v>
      </c>
      <c r="F20" t="s">
        <v>84</v>
      </c>
      <c r="G20" t="s">
        <v>81</v>
      </c>
      <c r="H20" t="s">
        <v>78</v>
      </c>
      <c r="I20">
        <v>1</v>
      </c>
      <c r="J20" s="1">
        <v>80</v>
      </c>
      <c r="K20" s="8">
        <v>0</v>
      </c>
      <c r="L20" s="1">
        <v>80</v>
      </c>
      <c r="M20" t="s">
        <v>981</v>
      </c>
      <c r="N20" t="s">
        <v>404</v>
      </c>
      <c r="O20" t="s">
        <v>951</v>
      </c>
      <c r="P20" t="s">
        <v>1148</v>
      </c>
      <c r="R20">
        <f t="shared" si="0"/>
        <v>2026</v>
      </c>
      <c r="S20">
        <f t="shared" si="1"/>
        <v>1</v>
      </c>
      <c r="T20">
        <f>IF(OR(O20="Cancelada",O20="Devolvida"),0,IF('03_DASHBOARD'!$B$5="Todos",1,IF(R20=VALUE('03_DASHBOARD'!$B$5),1,0))*IF('03_DASHBOARD'!$D$5="Todos",1,IF(S20=VLOOKUP('03_DASHBOARD'!$D$5,Listas_Dashboard!$A$2:$B$13,2,FALSE()),1,0))*IF('03_DASHBOARD'!$F$5="Todos",1,IF(N20='03_DASHBOARD'!$F$5,1,0))*IF('03_DASHBOARD'!$H$5="Todos",1,IF(H20='03_DASHBOARD'!$H$5,1,0))*IF('03_DASHBOARD'!$J$5="Todos",1,IF(M20='03_DASHBOARD'!$J$5,1,0)))</f>
        <v>1</v>
      </c>
      <c r="U20">
        <f>IF(T20=1,IF(COUNTIFS($C$2:C20,C20,$T$2:T20,1)=1,1,0),0)</f>
        <v>1</v>
      </c>
    </row>
    <row r="21" spans="1:21" ht="15" customHeight="1">
      <c r="A21" t="s">
        <v>982</v>
      </c>
      <c r="B21" s="2">
        <v>46043</v>
      </c>
      <c r="C21" t="s">
        <v>495</v>
      </c>
      <c r="D21" t="s">
        <v>496</v>
      </c>
      <c r="E21" t="s">
        <v>431</v>
      </c>
      <c r="F21" t="s">
        <v>86</v>
      </c>
      <c r="G21" t="s">
        <v>87</v>
      </c>
      <c r="H21" t="s">
        <v>78</v>
      </c>
      <c r="I21">
        <v>2</v>
      </c>
      <c r="J21" s="1">
        <v>65</v>
      </c>
      <c r="K21" s="8">
        <v>5</v>
      </c>
      <c r="L21" s="1">
        <v>123.5</v>
      </c>
      <c r="M21" t="s">
        <v>950</v>
      </c>
      <c r="N21" t="s">
        <v>411</v>
      </c>
      <c r="O21" t="s">
        <v>951</v>
      </c>
      <c r="P21" t="s">
        <v>1148</v>
      </c>
      <c r="R21">
        <f t="shared" si="0"/>
        <v>2026</v>
      </c>
      <c r="S21">
        <f t="shared" si="1"/>
        <v>1</v>
      </c>
      <c r="T21">
        <f>IF(OR(O21="Cancelada",O21="Devolvida"),0,IF('03_DASHBOARD'!$B$5="Todos",1,IF(R21=VALUE('03_DASHBOARD'!$B$5),1,0))*IF('03_DASHBOARD'!$D$5="Todos",1,IF(S21=VLOOKUP('03_DASHBOARD'!$D$5,Listas_Dashboard!$A$2:$B$13,2,FALSE()),1,0))*IF('03_DASHBOARD'!$F$5="Todos",1,IF(N21='03_DASHBOARD'!$F$5,1,0))*IF('03_DASHBOARD'!$H$5="Todos",1,IF(H21='03_DASHBOARD'!$H$5,1,0))*IF('03_DASHBOARD'!$J$5="Todos",1,IF(M21='03_DASHBOARD'!$J$5,1,0)))</f>
        <v>1</v>
      </c>
      <c r="U21">
        <f>IF(T21=1,IF(COUNTIFS($C$2:C21,C21,$T$2:T21,1)=1,1,0),0)</f>
        <v>1</v>
      </c>
    </row>
    <row r="22" spans="1:21" ht="15" customHeight="1">
      <c r="A22" t="s">
        <v>983</v>
      </c>
      <c r="B22" s="2">
        <v>46044</v>
      </c>
      <c r="C22" t="s">
        <v>499</v>
      </c>
      <c r="D22" t="s">
        <v>500</v>
      </c>
      <c r="E22" t="s">
        <v>401</v>
      </c>
      <c r="F22" t="s">
        <v>89</v>
      </c>
      <c r="G22" t="s">
        <v>90</v>
      </c>
      <c r="H22" t="s">
        <v>19</v>
      </c>
      <c r="I22">
        <v>2</v>
      </c>
      <c r="J22" s="1">
        <v>79</v>
      </c>
      <c r="K22" s="8">
        <v>0</v>
      </c>
      <c r="L22" s="1">
        <v>158</v>
      </c>
      <c r="M22" t="s">
        <v>959</v>
      </c>
      <c r="N22" t="s">
        <v>404</v>
      </c>
      <c r="O22" t="s">
        <v>951</v>
      </c>
      <c r="P22" t="s">
        <v>1148</v>
      </c>
      <c r="R22">
        <f t="shared" si="0"/>
        <v>2026</v>
      </c>
      <c r="S22">
        <f t="shared" si="1"/>
        <v>1</v>
      </c>
      <c r="T22">
        <f>IF(OR(O22="Cancelada",O22="Devolvida"),0,IF('03_DASHBOARD'!$B$5="Todos",1,IF(R22=VALUE('03_DASHBOARD'!$B$5),1,0))*IF('03_DASHBOARD'!$D$5="Todos",1,IF(S22=VLOOKUP('03_DASHBOARD'!$D$5,Listas_Dashboard!$A$2:$B$13,2,FALSE()),1,0))*IF('03_DASHBOARD'!$F$5="Todos",1,IF(N22='03_DASHBOARD'!$F$5,1,0))*IF('03_DASHBOARD'!$H$5="Todos",1,IF(H22='03_DASHBOARD'!$H$5,1,0))*IF('03_DASHBOARD'!$J$5="Todos",1,IF(M22='03_DASHBOARD'!$J$5,1,0)))</f>
        <v>1</v>
      </c>
      <c r="U22">
        <f>IF(T22=1,IF(COUNTIFS($C$2:C22,C22,$T$2:T22,1)=1,1,0),0)</f>
        <v>1</v>
      </c>
    </row>
    <row r="23" spans="1:21" ht="15" customHeight="1">
      <c r="A23" t="s">
        <v>984</v>
      </c>
      <c r="B23" s="2">
        <v>46045</v>
      </c>
      <c r="C23" t="s">
        <v>503</v>
      </c>
      <c r="D23" t="s">
        <v>504</v>
      </c>
      <c r="E23" t="s">
        <v>407</v>
      </c>
      <c r="F23" t="s">
        <v>91</v>
      </c>
      <c r="G23" t="s">
        <v>92</v>
      </c>
      <c r="H23" t="s">
        <v>19</v>
      </c>
      <c r="I23">
        <v>1</v>
      </c>
      <c r="J23" s="1">
        <v>79</v>
      </c>
      <c r="K23" s="8">
        <v>0</v>
      </c>
      <c r="L23" s="1">
        <v>79</v>
      </c>
      <c r="M23" t="s">
        <v>954</v>
      </c>
      <c r="N23" t="s">
        <v>404</v>
      </c>
      <c r="O23" t="s">
        <v>951</v>
      </c>
      <c r="P23" t="s">
        <v>1148</v>
      </c>
      <c r="R23">
        <f t="shared" si="0"/>
        <v>2026</v>
      </c>
      <c r="S23">
        <f t="shared" si="1"/>
        <v>1</v>
      </c>
      <c r="T23">
        <f>IF(OR(O23="Cancelada",O23="Devolvida"),0,IF('03_DASHBOARD'!$B$5="Todos",1,IF(R23=VALUE('03_DASHBOARD'!$B$5),1,0))*IF('03_DASHBOARD'!$D$5="Todos",1,IF(S23=VLOOKUP('03_DASHBOARD'!$D$5,Listas_Dashboard!$A$2:$B$13,2,FALSE()),1,0))*IF('03_DASHBOARD'!$F$5="Todos",1,IF(N23='03_DASHBOARD'!$F$5,1,0))*IF('03_DASHBOARD'!$H$5="Todos",1,IF(H23='03_DASHBOARD'!$H$5,1,0))*IF('03_DASHBOARD'!$J$5="Todos",1,IF(M23='03_DASHBOARD'!$J$5,1,0)))</f>
        <v>1</v>
      </c>
      <c r="U23">
        <f>IF(T23=1,IF(COUNTIFS($C$2:C23,C23,$T$2:T23,1)=1,1,0),0)</f>
        <v>1</v>
      </c>
    </row>
    <row r="24" spans="1:21" ht="15" customHeight="1">
      <c r="A24" t="s">
        <v>985</v>
      </c>
      <c r="B24" s="2">
        <v>46046</v>
      </c>
      <c r="C24" t="s">
        <v>507</v>
      </c>
      <c r="D24" t="s">
        <v>400</v>
      </c>
      <c r="E24" t="s">
        <v>401</v>
      </c>
      <c r="F24" t="s">
        <v>94</v>
      </c>
      <c r="G24" t="s">
        <v>95</v>
      </c>
      <c r="H24" t="s">
        <v>96</v>
      </c>
      <c r="I24">
        <v>15</v>
      </c>
      <c r="J24" s="1">
        <v>4.5</v>
      </c>
      <c r="K24" s="8">
        <v>0</v>
      </c>
      <c r="L24" s="1">
        <v>67.5</v>
      </c>
      <c r="M24" t="s">
        <v>950</v>
      </c>
      <c r="N24" t="s">
        <v>411</v>
      </c>
      <c r="O24" t="s">
        <v>951</v>
      </c>
      <c r="P24" t="s">
        <v>1148</v>
      </c>
      <c r="R24">
        <f t="shared" si="0"/>
        <v>2026</v>
      </c>
      <c r="S24">
        <f t="shared" si="1"/>
        <v>1</v>
      </c>
      <c r="T24">
        <f>IF(OR(O24="Cancelada",O24="Devolvida"),0,IF('03_DASHBOARD'!$B$5="Todos",1,IF(R24=VALUE('03_DASHBOARD'!$B$5),1,0))*IF('03_DASHBOARD'!$D$5="Todos",1,IF(S24=VLOOKUP('03_DASHBOARD'!$D$5,Listas_Dashboard!$A$2:$B$13,2,FALSE()),1,0))*IF('03_DASHBOARD'!$F$5="Todos",1,IF(N24='03_DASHBOARD'!$F$5,1,0))*IF('03_DASHBOARD'!$H$5="Todos",1,IF(H24='03_DASHBOARD'!$H$5,1,0))*IF('03_DASHBOARD'!$J$5="Todos",1,IF(M24='03_DASHBOARD'!$J$5,1,0)))</f>
        <v>1</v>
      </c>
      <c r="U24">
        <f>IF(T24=1,IF(COUNTIFS($C$2:C24,C24,$T$2:T24,1)=1,1,0),0)</f>
        <v>1</v>
      </c>
    </row>
    <row r="25" spans="1:21" ht="15" customHeight="1">
      <c r="A25" t="s">
        <v>986</v>
      </c>
      <c r="B25" s="2">
        <v>46047</v>
      </c>
      <c r="C25" t="s">
        <v>509</v>
      </c>
      <c r="D25" t="s">
        <v>510</v>
      </c>
      <c r="E25" t="s">
        <v>426</v>
      </c>
      <c r="F25" t="s">
        <v>99</v>
      </c>
      <c r="G25" t="s">
        <v>100</v>
      </c>
      <c r="H25" t="s">
        <v>101</v>
      </c>
      <c r="I25">
        <v>1</v>
      </c>
      <c r="J25" s="1">
        <v>185</v>
      </c>
      <c r="K25" s="8">
        <v>0</v>
      </c>
      <c r="L25" s="1">
        <v>185</v>
      </c>
      <c r="M25" t="s">
        <v>954</v>
      </c>
      <c r="N25" t="s">
        <v>404</v>
      </c>
      <c r="O25" t="s">
        <v>951</v>
      </c>
      <c r="P25" t="s">
        <v>1148</v>
      </c>
      <c r="R25">
        <f t="shared" si="0"/>
        <v>2026</v>
      </c>
      <c r="S25">
        <f t="shared" si="1"/>
        <v>1</v>
      </c>
      <c r="T25">
        <f>IF(OR(O25="Cancelada",O25="Devolvida"),0,IF('03_DASHBOARD'!$B$5="Todos",1,IF(R25=VALUE('03_DASHBOARD'!$B$5),1,0))*IF('03_DASHBOARD'!$D$5="Todos",1,IF(S25=VLOOKUP('03_DASHBOARD'!$D$5,Listas_Dashboard!$A$2:$B$13,2,FALSE()),1,0))*IF('03_DASHBOARD'!$F$5="Todos",1,IF(N25='03_DASHBOARD'!$F$5,1,0))*IF('03_DASHBOARD'!$H$5="Todos",1,IF(H25='03_DASHBOARD'!$H$5,1,0))*IF('03_DASHBOARD'!$J$5="Todos",1,IF(M25='03_DASHBOARD'!$J$5,1,0)))</f>
        <v>1</v>
      </c>
      <c r="U25">
        <f>IF(T25=1,IF(COUNTIFS($C$2:C25,C25,$T$2:T25,1)=1,1,0),0)</f>
        <v>1</v>
      </c>
    </row>
    <row r="26" spans="1:21" ht="15" customHeight="1">
      <c r="A26" t="s">
        <v>987</v>
      </c>
      <c r="B26" s="2">
        <v>46048</v>
      </c>
      <c r="C26" t="s">
        <v>514</v>
      </c>
      <c r="D26" t="s">
        <v>515</v>
      </c>
      <c r="E26" t="s">
        <v>459</v>
      </c>
      <c r="F26" t="s">
        <v>103</v>
      </c>
      <c r="G26" t="s">
        <v>104</v>
      </c>
      <c r="H26" t="s">
        <v>101</v>
      </c>
      <c r="I26">
        <v>1</v>
      </c>
      <c r="J26" s="1">
        <v>249</v>
      </c>
      <c r="K26" s="8">
        <v>20</v>
      </c>
      <c r="L26" s="1">
        <v>199.2</v>
      </c>
      <c r="M26" t="s">
        <v>959</v>
      </c>
      <c r="N26" t="s">
        <v>404</v>
      </c>
      <c r="O26" t="s">
        <v>951</v>
      </c>
      <c r="P26" t="s">
        <v>1148</v>
      </c>
      <c r="R26">
        <f t="shared" si="0"/>
        <v>2026</v>
      </c>
      <c r="S26">
        <f t="shared" si="1"/>
        <v>1</v>
      </c>
      <c r="T26">
        <f>IF(OR(O26="Cancelada",O26="Devolvida"),0,IF('03_DASHBOARD'!$B$5="Todos",1,IF(R26=VALUE('03_DASHBOARD'!$B$5),1,0))*IF('03_DASHBOARD'!$D$5="Todos",1,IF(S26=VLOOKUP('03_DASHBOARD'!$D$5,Listas_Dashboard!$A$2:$B$13,2,FALSE()),1,0))*IF('03_DASHBOARD'!$F$5="Todos",1,IF(N26='03_DASHBOARD'!$F$5,1,0))*IF('03_DASHBOARD'!$H$5="Todos",1,IF(H26='03_DASHBOARD'!$H$5,1,0))*IF('03_DASHBOARD'!$J$5="Todos",1,IF(M26='03_DASHBOARD'!$J$5,1,0)))</f>
        <v>1</v>
      </c>
      <c r="U26">
        <f>IF(T26=1,IF(COUNTIFS($C$2:C26,C26,$T$2:T26,1)=1,1,0),0)</f>
        <v>1</v>
      </c>
    </row>
    <row r="27" spans="1:21" ht="15" customHeight="1">
      <c r="A27" t="s">
        <v>988</v>
      </c>
      <c r="B27" s="2">
        <v>46049</v>
      </c>
      <c r="C27" t="s">
        <v>519</v>
      </c>
      <c r="D27" t="s">
        <v>520</v>
      </c>
      <c r="E27" t="s">
        <v>465</v>
      </c>
      <c r="F27" t="s">
        <v>106</v>
      </c>
      <c r="G27" t="s">
        <v>107</v>
      </c>
      <c r="H27" t="s">
        <v>13</v>
      </c>
      <c r="I27">
        <v>2</v>
      </c>
      <c r="J27" s="1">
        <v>245</v>
      </c>
      <c r="K27" s="8">
        <v>0</v>
      </c>
      <c r="L27" s="1">
        <v>490</v>
      </c>
      <c r="M27" t="s">
        <v>950</v>
      </c>
      <c r="N27" t="s">
        <v>536</v>
      </c>
      <c r="O27" t="s">
        <v>951</v>
      </c>
      <c r="P27" t="s">
        <v>1148</v>
      </c>
      <c r="R27">
        <f t="shared" si="0"/>
        <v>2026</v>
      </c>
      <c r="S27">
        <f t="shared" si="1"/>
        <v>1</v>
      </c>
      <c r="T27">
        <f>IF(OR(O27="Cancelada",O27="Devolvida"),0,IF('03_DASHBOARD'!$B$5="Todos",1,IF(R27=VALUE('03_DASHBOARD'!$B$5),1,0))*IF('03_DASHBOARD'!$D$5="Todos",1,IF(S27=VLOOKUP('03_DASHBOARD'!$D$5,Listas_Dashboard!$A$2:$B$13,2,FALSE()),1,0))*IF('03_DASHBOARD'!$F$5="Todos",1,IF(N27='03_DASHBOARD'!$F$5,1,0))*IF('03_DASHBOARD'!$H$5="Todos",1,IF(H27='03_DASHBOARD'!$H$5,1,0))*IF('03_DASHBOARD'!$J$5="Todos",1,IF(M27='03_DASHBOARD'!$J$5,1,0)))</f>
        <v>1</v>
      </c>
      <c r="U27">
        <f>IF(T27=1,IF(COUNTIFS($C$2:C27,C27,$T$2:T27,1)=1,1,0),0)</f>
        <v>1</v>
      </c>
    </row>
    <row r="28" spans="1:21" ht="15" customHeight="1">
      <c r="A28" t="s">
        <v>989</v>
      </c>
      <c r="B28" s="2">
        <v>46050</v>
      </c>
      <c r="C28" t="s">
        <v>523</v>
      </c>
      <c r="D28" t="s">
        <v>524</v>
      </c>
      <c r="E28" t="s">
        <v>407</v>
      </c>
      <c r="F28" t="s">
        <v>108</v>
      </c>
      <c r="G28" t="s">
        <v>109</v>
      </c>
      <c r="H28" t="s">
        <v>13</v>
      </c>
      <c r="I28">
        <v>2</v>
      </c>
      <c r="J28" s="1">
        <v>245</v>
      </c>
      <c r="K28" s="8">
        <v>0</v>
      </c>
      <c r="L28" s="1">
        <v>490</v>
      </c>
      <c r="M28" t="s">
        <v>954</v>
      </c>
      <c r="N28" t="s">
        <v>404</v>
      </c>
      <c r="O28" t="s">
        <v>951</v>
      </c>
      <c r="P28" t="s">
        <v>1148</v>
      </c>
      <c r="R28">
        <f t="shared" si="0"/>
        <v>2026</v>
      </c>
      <c r="S28">
        <f t="shared" si="1"/>
        <v>1</v>
      </c>
      <c r="T28">
        <f>IF(OR(O28="Cancelada",O28="Devolvida"),0,IF('03_DASHBOARD'!$B$5="Todos",1,IF(R28=VALUE('03_DASHBOARD'!$B$5),1,0))*IF('03_DASHBOARD'!$D$5="Todos",1,IF(S28=VLOOKUP('03_DASHBOARD'!$D$5,Listas_Dashboard!$A$2:$B$13,2,FALSE()),1,0))*IF('03_DASHBOARD'!$F$5="Todos",1,IF(N28='03_DASHBOARD'!$F$5,1,0))*IF('03_DASHBOARD'!$H$5="Todos",1,IF(H28='03_DASHBOARD'!$H$5,1,0))*IF('03_DASHBOARD'!$J$5="Todos",1,IF(M28='03_DASHBOARD'!$J$5,1,0)))</f>
        <v>1</v>
      </c>
      <c r="U28">
        <f>IF(T28=1,IF(COUNTIFS($C$2:C28,C28,$T$2:T28,1)=1,1,0),0)</f>
        <v>1</v>
      </c>
    </row>
    <row r="29" spans="1:21" ht="15" customHeight="1">
      <c r="A29" t="s">
        <v>990</v>
      </c>
      <c r="B29" s="2">
        <v>46051</v>
      </c>
      <c r="C29" t="s">
        <v>527</v>
      </c>
      <c r="D29" t="s">
        <v>528</v>
      </c>
      <c r="E29" t="s">
        <v>420</v>
      </c>
      <c r="F29" t="s">
        <v>112</v>
      </c>
      <c r="G29" t="s">
        <v>113</v>
      </c>
      <c r="H29" t="s">
        <v>13</v>
      </c>
      <c r="I29">
        <v>1</v>
      </c>
      <c r="J29" s="1">
        <v>320</v>
      </c>
      <c r="K29" s="8">
        <v>0</v>
      </c>
      <c r="L29" s="1">
        <v>320</v>
      </c>
      <c r="M29" t="s">
        <v>950</v>
      </c>
      <c r="N29" t="s">
        <v>404</v>
      </c>
      <c r="O29" t="s">
        <v>991</v>
      </c>
      <c r="P29" t="s">
        <v>1150</v>
      </c>
      <c r="Q29" t="s">
        <v>992</v>
      </c>
      <c r="R29">
        <f t="shared" si="0"/>
        <v>2026</v>
      </c>
      <c r="S29">
        <f t="shared" si="1"/>
        <v>1</v>
      </c>
      <c r="T29">
        <f>IF(OR(O29="Cancelada",O29="Devolvida"),0,IF('03_DASHBOARD'!$B$5="Todos",1,IF(R29=VALUE('03_DASHBOARD'!$B$5),1,0))*IF('03_DASHBOARD'!$D$5="Todos",1,IF(S29=VLOOKUP('03_DASHBOARD'!$D$5,Listas_Dashboard!$A$2:$B$13,2,FALSE()),1,0))*IF('03_DASHBOARD'!$F$5="Todos",1,IF(N29='03_DASHBOARD'!$F$5,1,0))*IF('03_DASHBOARD'!$H$5="Todos",1,IF(H29='03_DASHBOARD'!$H$5,1,0))*IF('03_DASHBOARD'!$J$5="Todos",1,IF(M29='03_DASHBOARD'!$J$5,1,0)))</f>
        <v>1</v>
      </c>
      <c r="U29">
        <f>IF(T29=1,IF(COUNTIFS($C$2:C29,C29,$T$2:T29,1)=1,1,0),0)</f>
        <v>1</v>
      </c>
    </row>
    <row r="30" spans="1:21" ht="15" customHeight="1">
      <c r="A30" t="s">
        <v>993</v>
      </c>
      <c r="B30" s="2">
        <v>46052</v>
      </c>
      <c r="C30" t="s">
        <v>531</v>
      </c>
      <c r="D30" t="s">
        <v>532</v>
      </c>
      <c r="E30" t="s">
        <v>401</v>
      </c>
      <c r="F30" t="s">
        <v>115</v>
      </c>
      <c r="G30" t="s">
        <v>116</v>
      </c>
      <c r="H30" t="s">
        <v>13</v>
      </c>
      <c r="I30">
        <v>1</v>
      </c>
      <c r="J30" s="1">
        <v>699</v>
      </c>
      <c r="K30" s="8">
        <v>0</v>
      </c>
      <c r="L30" s="1">
        <v>699</v>
      </c>
      <c r="M30" t="s">
        <v>959</v>
      </c>
      <c r="N30" t="s">
        <v>411</v>
      </c>
      <c r="O30" t="s">
        <v>951</v>
      </c>
      <c r="P30" t="s">
        <v>1148</v>
      </c>
      <c r="R30">
        <f t="shared" si="0"/>
        <v>2026</v>
      </c>
      <c r="S30">
        <f t="shared" si="1"/>
        <v>1</v>
      </c>
      <c r="T30">
        <f>IF(OR(O30="Cancelada",O30="Devolvida"),0,IF('03_DASHBOARD'!$B$5="Todos",1,IF(R30=VALUE('03_DASHBOARD'!$B$5),1,0))*IF('03_DASHBOARD'!$D$5="Todos",1,IF(S30=VLOOKUP('03_DASHBOARD'!$D$5,Listas_Dashboard!$A$2:$B$13,2,FALSE()),1,0))*IF('03_DASHBOARD'!$F$5="Todos",1,IF(N30='03_DASHBOARD'!$F$5,1,0))*IF('03_DASHBOARD'!$H$5="Todos",1,IF(H30='03_DASHBOARD'!$H$5,1,0))*IF('03_DASHBOARD'!$J$5="Todos",1,IF(M30='03_DASHBOARD'!$J$5,1,0)))</f>
        <v>1</v>
      </c>
      <c r="U30">
        <f>IF(T30=1,IF(COUNTIFS($C$2:C30,C30,$T$2:T30,1)=1,1,0),0)</f>
        <v>1</v>
      </c>
    </row>
    <row r="31" spans="1:21" ht="15" customHeight="1">
      <c r="A31" t="s">
        <v>994</v>
      </c>
      <c r="B31" s="2">
        <v>46053</v>
      </c>
      <c r="C31" t="s">
        <v>537</v>
      </c>
      <c r="D31" t="s">
        <v>538</v>
      </c>
      <c r="E31" t="s">
        <v>470</v>
      </c>
      <c r="F31" t="s">
        <v>126</v>
      </c>
      <c r="G31" t="s">
        <v>122</v>
      </c>
      <c r="H31" t="s">
        <v>123</v>
      </c>
      <c r="I31">
        <v>1</v>
      </c>
      <c r="J31" s="1">
        <v>649</v>
      </c>
      <c r="K31" s="8">
        <v>0</v>
      </c>
      <c r="L31" s="1">
        <v>649</v>
      </c>
      <c r="M31" t="s">
        <v>954</v>
      </c>
      <c r="N31" t="s">
        <v>404</v>
      </c>
      <c r="O31" t="s">
        <v>951</v>
      </c>
      <c r="P31" t="s">
        <v>1148</v>
      </c>
      <c r="Q31" t="s">
        <v>995</v>
      </c>
      <c r="R31">
        <f t="shared" si="0"/>
        <v>2026</v>
      </c>
      <c r="S31">
        <f t="shared" si="1"/>
        <v>1</v>
      </c>
      <c r="T31">
        <f>IF(OR(O31="Cancelada",O31="Devolvida"),0,IF('03_DASHBOARD'!$B$5="Todos",1,IF(R31=VALUE('03_DASHBOARD'!$B$5),1,0))*IF('03_DASHBOARD'!$D$5="Todos",1,IF(S31=VLOOKUP('03_DASHBOARD'!$D$5,Listas_Dashboard!$A$2:$B$13,2,FALSE()),1,0))*IF('03_DASHBOARD'!$F$5="Todos",1,IF(N31='03_DASHBOARD'!$F$5,1,0))*IF('03_DASHBOARD'!$H$5="Todos",1,IF(H31='03_DASHBOARD'!$H$5,1,0))*IF('03_DASHBOARD'!$J$5="Todos",1,IF(M31='03_DASHBOARD'!$J$5,1,0)))</f>
        <v>1</v>
      </c>
      <c r="U31">
        <f>IF(T31=1,IF(COUNTIFS($C$2:C31,C31,$T$2:T31,1)=1,1,0),0)</f>
        <v>1</v>
      </c>
    </row>
    <row r="32" spans="1:21" ht="15" customHeight="1">
      <c r="A32" t="s">
        <v>996</v>
      </c>
      <c r="B32" s="2">
        <v>46054</v>
      </c>
      <c r="C32" t="s">
        <v>997</v>
      </c>
      <c r="D32" t="s">
        <v>1151</v>
      </c>
      <c r="F32" t="s">
        <v>11</v>
      </c>
      <c r="G32" t="s">
        <v>12</v>
      </c>
      <c r="H32" t="s">
        <v>13</v>
      </c>
      <c r="I32">
        <v>1</v>
      </c>
      <c r="J32" s="1">
        <v>180</v>
      </c>
      <c r="K32" s="8">
        <v>0</v>
      </c>
      <c r="L32" s="1">
        <v>180</v>
      </c>
      <c r="M32" t="s">
        <v>950</v>
      </c>
      <c r="N32" t="s">
        <v>404</v>
      </c>
      <c r="O32" t="s">
        <v>951</v>
      </c>
      <c r="P32" t="s">
        <v>1148</v>
      </c>
      <c r="Q32" t="s">
        <v>998</v>
      </c>
      <c r="R32">
        <f t="shared" si="0"/>
        <v>2026</v>
      </c>
      <c r="S32">
        <f t="shared" si="1"/>
        <v>2</v>
      </c>
      <c r="T32">
        <v>0</v>
      </c>
      <c r="U32">
        <f>IF(T32=1,IF(COUNTIFS($C$2:C32,C32,$T$2:T32,1)=1,1,0),0)</f>
        <v>0</v>
      </c>
    </row>
    <row r="33" spans="1:21" ht="15" customHeight="1">
      <c r="A33" t="s">
        <v>999</v>
      </c>
      <c r="B33" s="2">
        <v>46055</v>
      </c>
      <c r="C33" t="s">
        <v>399</v>
      </c>
      <c r="D33" t="s">
        <v>400</v>
      </c>
      <c r="E33" t="s">
        <v>401</v>
      </c>
      <c r="F33" t="s">
        <v>1000</v>
      </c>
      <c r="G33" t="s">
        <v>1152</v>
      </c>
      <c r="I33">
        <v>2</v>
      </c>
      <c r="J33" s="1">
        <v>50</v>
      </c>
      <c r="K33" s="8">
        <v>0</v>
      </c>
      <c r="L33" s="1">
        <v>100</v>
      </c>
      <c r="M33" t="s">
        <v>954</v>
      </c>
      <c r="N33" t="s">
        <v>404</v>
      </c>
      <c r="O33" t="s">
        <v>951</v>
      </c>
      <c r="P33" t="s">
        <v>1148</v>
      </c>
      <c r="Q33" t="s">
        <v>1001</v>
      </c>
      <c r="R33">
        <f t="shared" si="0"/>
        <v>2026</v>
      </c>
      <c r="S33">
        <f t="shared" si="1"/>
        <v>2</v>
      </c>
      <c r="T33">
        <v>0</v>
      </c>
      <c r="U33">
        <f>IF(T33=1,IF(COUNTIFS($C$2:C33,C33,$T$2:T33,1)=1,1,0),0)</f>
        <v>0</v>
      </c>
    </row>
    <row r="34" spans="1:21" ht="15" customHeight="1">
      <c r="A34" t="s">
        <v>1002</v>
      </c>
      <c r="B34" s="2">
        <v>46056</v>
      </c>
      <c r="C34" t="s">
        <v>424</v>
      </c>
      <c r="D34" t="s">
        <v>425</v>
      </c>
      <c r="E34" t="s">
        <v>426</v>
      </c>
      <c r="F34" t="s">
        <v>26</v>
      </c>
      <c r="G34" t="s">
        <v>27</v>
      </c>
      <c r="H34" t="s">
        <v>13</v>
      </c>
      <c r="I34">
        <v>1</v>
      </c>
      <c r="J34" s="1">
        <v>850</v>
      </c>
      <c r="K34" s="8">
        <v>100</v>
      </c>
      <c r="L34" s="1">
        <v>0</v>
      </c>
      <c r="M34" t="s">
        <v>959</v>
      </c>
      <c r="N34" t="s">
        <v>404</v>
      </c>
      <c r="O34" t="s">
        <v>951</v>
      </c>
      <c r="P34" t="s">
        <v>1148</v>
      </c>
      <c r="Q34" t="s">
        <v>1003</v>
      </c>
      <c r="R34">
        <f t="shared" ref="R34:R65" si="2">YEAR(B34)</f>
        <v>2026</v>
      </c>
      <c r="S34">
        <f t="shared" ref="S34:S65" si="3">MONTH(B34)</f>
        <v>2</v>
      </c>
      <c r="T34">
        <f>IF(OR(O34="Cancelada",O34="Devolvida"),0,IF('03_DASHBOARD'!$B$5="Todos",1,IF(R34=VALUE('03_DASHBOARD'!$B$5),1,0))*IF('03_DASHBOARD'!$D$5="Todos",1,IF(S34=VLOOKUP('03_DASHBOARD'!$D$5,Listas_Dashboard!$A$2:$B$13,2,FALSE()),1,0))*IF('03_DASHBOARD'!$F$5="Todos",1,IF(N34='03_DASHBOARD'!$F$5,1,0))*IF('03_DASHBOARD'!$H$5="Todos",1,IF(H34='03_DASHBOARD'!$H$5,1,0))*IF('03_DASHBOARD'!$J$5="Todos",1,IF(M34='03_DASHBOARD'!$J$5,1,0)))</f>
        <v>1</v>
      </c>
      <c r="U34">
        <f>IF(T34=1,IF(COUNTIFS($C$2:C34,C34,$T$2:T34,1)=1,1,0),0)</f>
        <v>1</v>
      </c>
    </row>
    <row r="35" spans="1:21" ht="15" customHeight="1">
      <c r="A35" t="s">
        <v>1004</v>
      </c>
      <c r="B35" s="2">
        <v>46057</v>
      </c>
      <c r="C35" t="s">
        <v>399</v>
      </c>
      <c r="D35" t="s">
        <v>400</v>
      </c>
      <c r="E35" t="s">
        <v>401</v>
      </c>
      <c r="F35" t="s">
        <v>11</v>
      </c>
      <c r="G35" t="s">
        <v>12</v>
      </c>
      <c r="H35" t="s">
        <v>13</v>
      </c>
      <c r="I35">
        <v>2</v>
      </c>
      <c r="J35" s="1">
        <v>180</v>
      </c>
      <c r="K35" s="8">
        <v>0</v>
      </c>
      <c r="L35" s="1">
        <v>360</v>
      </c>
      <c r="M35" t="s">
        <v>950</v>
      </c>
      <c r="N35" t="s">
        <v>404</v>
      </c>
      <c r="O35" t="s">
        <v>951</v>
      </c>
      <c r="P35" t="s">
        <v>1148</v>
      </c>
      <c r="R35">
        <f t="shared" si="2"/>
        <v>2026</v>
      </c>
      <c r="S35">
        <f t="shared" si="3"/>
        <v>2</v>
      </c>
      <c r="T35">
        <f>IF(OR(O35="Cancelada",O35="Devolvida"),0,IF('03_DASHBOARD'!$B$5="Todos",1,IF(R35=VALUE('03_DASHBOARD'!$B$5),1,0))*IF('03_DASHBOARD'!$D$5="Todos",1,IF(S35=VLOOKUP('03_DASHBOARD'!$D$5,Listas_Dashboard!$A$2:$B$13,2,FALSE()),1,0))*IF('03_DASHBOARD'!$F$5="Todos",1,IF(N35='03_DASHBOARD'!$F$5,1,0))*IF('03_DASHBOARD'!$H$5="Todos",1,IF(H35='03_DASHBOARD'!$H$5,1,0))*IF('03_DASHBOARD'!$J$5="Todos",1,IF(M35='03_DASHBOARD'!$J$5,1,0)))</f>
        <v>1</v>
      </c>
      <c r="U35">
        <f>IF(T35=1,IF(COUNTIFS($C$2:C35,C35,$T$2:T35,1)=1,1,0),0)</f>
        <v>0</v>
      </c>
    </row>
    <row r="36" spans="1:21" ht="15" customHeight="1">
      <c r="A36" t="s">
        <v>1005</v>
      </c>
      <c r="B36" s="2">
        <v>46057</v>
      </c>
      <c r="C36" t="s">
        <v>399</v>
      </c>
      <c r="D36" t="s">
        <v>400</v>
      </c>
      <c r="E36" t="s">
        <v>401</v>
      </c>
      <c r="F36" t="s">
        <v>11</v>
      </c>
      <c r="G36" t="s">
        <v>12</v>
      </c>
      <c r="H36" t="s">
        <v>13</v>
      </c>
      <c r="I36">
        <v>2</v>
      </c>
      <c r="J36" s="1">
        <v>180</v>
      </c>
      <c r="K36" s="8">
        <v>0</v>
      </c>
      <c r="L36" s="1">
        <v>360</v>
      </c>
      <c r="M36" t="s">
        <v>950</v>
      </c>
      <c r="N36" t="s">
        <v>404</v>
      </c>
      <c r="O36" t="s">
        <v>951</v>
      </c>
      <c r="P36" t="s">
        <v>1148</v>
      </c>
      <c r="Q36" t="s">
        <v>1006</v>
      </c>
      <c r="R36">
        <f t="shared" si="2"/>
        <v>2026</v>
      </c>
      <c r="S36">
        <f t="shared" si="3"/>
        <v>2</v>
      </c>
      <c r="T36">
        <v>0</v>
      </c>
      <c r="U36">
        <f>IF(T36=1,IF(COUNTIFS($C$2:C36,C36,$T$2:T36,1)=1,1,0),0)</f>
        <v>0</v>
      </c>
    </row>
    <row r="37" spans="1:21" ht="15" customHeight="1">
      <c r="A37" t="s">
        <v>1007</v>
      </c>
      <c r="B37" s="2">
        <v>46058</v>
      </c>
      <c r="C37" t="s">
        <v>448</v>
      </c>
      <c r="D37" t="s">
        <v>449</v>
      </c>
      <c r="E37" t="s">
        <v>420</v>
      </c>
      <c r="F37" t="s">
        <v>76</v>
      </c>
      <c r="G37" t="s">
        <v>77</v>
      </c>
      <c r="H37" t="s">
        <v>19</v>
      </c>
      <c r="I37">
        <v>0</v>
      </c>
      <c r="J37" s="1">
        <v>55</v>
      </c>
      <c r="K37" s="8">
        <v>0</v>
      </c>
      <c r="L37" s="1">
        <v>0</v>
      </c>
      <c r="M37" t="s">
        <v>954</v>
      </c>
      <c r="N37" t="s">
        <v>404</v>
      </c>
      <c r="O37" t="s">
        <v>951</v>
      </c>
      <c r="P37" t="s">
        <v>1148</v>
      </c>
      <c r="Q37" t="s">
        <v>1008</v>
      </c>
      <c r="R37">
        <f t="shared" si="2"/>
        <v>2026</v>
      </c>
      <c r="S37">
        <f t="shared" si="3"/>
        <v>2</v>
      </c>
      <c r="T37">
        <f>IF(OR(O37="Cancelada",O37="Devolvida"),0,IF('03_DASHBOARD'!$B$5="Todos",1,IF(R37=VALUE('03_DASHBOARD'!$B$5),1,0))*IF('03_DASHBOARD'!$D$5="Todos",1,IF(S37=VLOOKUP('03_DASHBOARD'!$D$5,Listas_Dashboard!$A$2:$B$13,2,FALSE()),1,0))*IF('03_DASHBOARD'!$F$5="Todos",1,IF(N37='03_DASHBOARD'!$F$5,1,0))*IF('03_DASHBOARD'!$H$5="Todos",1,IF(H37='03_DASHBOARD'!$H$5,1,0))*IF('03_DASHBOARD'!$J$5="Todos",1,IF(M37='03_DASHBOARD'!$J$5,1,0)))</f>
        <v>1</v>
      </c>
      <c r="U37">
        <f>IF(T37=1,IF(COUNTIFS($C$2:C37,C37,$T$2:T37,1)=1,1,0),0)</f>
        <v>0</v>
      </c>
    </row>
    <row r="38" spans="1:21" ht="15" customHeight="1">
      <c r="A38" t="s">
        <v>1009</v>
      </c>
      <c r="B38" s="2">
        <v>46059</v>
      </c>
      <c r="C38" t="s">
        <v>457</v>
      </c>
      <c r="D38" t="s">
        <v>458</v>
      </c>
      <c r="E38" t="s">
        <v>459</v>
      </c>
      <c r="F38" t="s">
        <v>80</v>
      </c>
      <c r="G38" t="s">
        <v>81</v>
      </c>
      <c r="H38" t="s">
        <v>82</v>
      </c>
      <c r="I38">
        <v>3</v>
      </c>
      <c r="J38" s="1">
        <v>80</v>
      </c>
      <c r="K38" s="8">
        <v>0</v>
      </c>
      <c r="L38" s="1">
        <v>240</v>
      </c>
      <c r="M38" t="s">
        <v>950</v>
      </c>
      <c r="N38" t="s">
        <v>536</v>
      </c>
      <c r="O38" t="s">
        <v>961</v>
      </c>
      <c r="P38" t="s">
        <v>1149</v>
      </c>
      <c r="R38">
        <f t="shared" si="2"/>
        <v>2026</v>
      </c>
      <c r="S38">
        <f t="shared" si="3"/>
        <v>2</v>
      </c>
      <c r="T38">
        <f>IF(OR(O38="Cancelada",O38="Devolvida"),0,IF('03_DASHBOARD'!$B$5="Todos",1,IF(R38=VALUE('03_DASHBOARD'!$B$5),1,0))*IF('03_DASHBOARD'!$D$5="Todos",1,IF(S38=VLOOKUP('03_DASHBOARD'!$D$5,Listas_Dashboard!$A$2:$B$13,2,FALSE()),1,0))*IF('03_DASHBOARD'!$F$5="Todos",1,IF(N38='03_DASHBOARD'!$F$5,1,0))*IF('03_DASHBOARD'!$H$5="Todos",1,IF(H38='03_DASHBOARD'!$H$5,1,0))*IF('03_DASHBOARD'!$J$5="Todos",1,IF(M38='03_DASHBOARD'!$J$5,1,0)))</f>
        <v>0</v>
      </c>
      <c r="U38">
        <f>IF(T38=1,IF(COUNTIFS($C$2:C38,C38,$T$2:T38,1)=1,1,0),0)</f>
        <v>0</v>
      </c>
    </row>
    <row r="39" spans="1:21" ht="15" customHeight="1">
      <c r="A39" t="s">
        <v>1010</v>
      </c>
      <c r="B39" s="2">
        <v>46060</v>
      </c>
      <c r="C39" t="s">
        <v>468</v>
      </c>
      <c r="D39" t="s">
        <v>469</v>
      </c>
      <c r="E39" t="s">
        <v>470</v>
      </c>
      <c r="F39" t="s">
        <v>192</v>
      </c>
      <c r="G39" t="s">
        <v>27</v>
      </c>
      <c r="H39" t="s">
        <v>13</v>
      </c>
      <c r="I39">
        <v>1</v>
      </c>
      <c r="J39" s="1">
        <v>850</v>
      </c>
      <c r="K39" s="8">
        <v>0</v>
      </c>
      <c r="L39" s="1">
        <v>850</v>
      </c>
      <c r="M39" t="s">
        <v>959</v>
      </c>
      <c r="N39" t="s">
        <v>404</v>
      </c>
      <c r="O39" t="s">
        <v>951</v>
      </c>
      <c r="P39" t="s">
        <v>1148</v>
      </c>
      <c r="Q39" t="s">
        <v>194</v>
      </c>
      <c r="R39">
        <f t="shared" si="2"/>
        <v>2026</v>
      </c>
      <c r="S39">
        <f t="shared" si="3"/>
        <v>2</v>
      </c>
      <c r="T39">
        <f>IF(OR(O39="Cancelada",O39="Devolvida"),0,IF('03_DASHBOARD'!$B$5="Todos",1,IF(R39=VALUE('03_DASHBOARD'!$B$5),1,0))*IF('03_DASHBOARD'!$D$5="Todos",1,IF(S39=VLOOKUP('03_DASHBOARD'!$D$5,Listas_Dashboard!$A$2:$B$13,2,FALSE()),1,0))*IF('03_DASHBOARD'!$F$5="Todos",1,IF(N39='03_DASHBOARD'!$F$5,1,0))*IF('03_DASHBOARD'!$H$5="Todos",1,IF(H39='03_DASHBOARD'!$H$5,1,0))*IF('03_DASHBOARD'!$J$5="Todos",1,IF(M39='03_DASHBOARD'!$J$5,1,0)))</f>
        <v>1</v>
      </c>
      <c r="U39">
        <f>IF(T39=1,IF(COUNTIFS($C$2:C39,C39,$T$2:T39,1)=1,1,0),0)</f>
        <v>0</v>
      </c>
    </row>
    <row r="40" spans="1:21" ht="15" customHeight="1">
      <c r="A40" t="s">
        <v>1011</v>
      </c>
      <c r="B40" s="2">
        <v>46402</v>
      </c>
      <c r="C40" t="s">
        <v>487</v>
      </c>
      <c r="D40" t="s">
        <v>488</v>
      </c>
      <c r="E40" t="s">
        <v>420</v>
      </c>
      <c r="F40" t="s">
        <v>106</v>
      </c>
      <c r="G40" t="s">
        <v>107</v>
      </c>
      <c r="H40" t="s">
        <v>13</v>
      </c>
      <c r="I40">
        <v>1</v>
      </c>
      <c r="J40" s="1">
        <v>245</v>
      </c>
      <c r="K40" s="8">
        <v>0</v>
      </c>
      <c r="L40" s="1">
        <v>245</v>
      </c>
      <c r="M40" t="s">
        <v>954</v>
      </c>
      <c r="N40" t="s">
        <v>404</v>
      </c>
      <c r="O40" t="s">
        <v>951</v>
      </c>
      <c r="P40" t="s">
        <v>1148</v>
      </c>
      <c r="Q40" t="s">
        <v>1012</v>
      </c>
      <c r="R40">
        <f t="shared" si="2"/>
        <v>2027</v>
      </c>
      <c r="S40">
        <f t="shared" si="3"/>
        <v>1</v>
      </c>
      <c r="T40">
        <f>IF(OR(O40="Cancelada",O40="Devolvida"),0,IF('03_DASHBOARD'!$B$5="Todos",1,IF(R40=VALUE('03_DASHBOARD'!$B$5),1,0))*IF('03_DASHBOARD'!$D$5="Todos",1,IF(S40=VLOOKUP('03_DASHBOARD'!$D$5,Listas_Dashboard!$A$2:$B$13,2,FALSE()),1,0))*IF('03_DASHBOARD'!$F$5="Todos",1,IF(N40='03_DASHBOARD'!$F$5,1,0))*IF('03_DASHBOARD'!$H$5="Todos",1,IF(H40='03_DASHBOARD'!$H$5,1,0))*IF('03_DASHBOARD'!$J$5="Todos",1,IF(M40='03_DASHBOARD'!$J$5,1,0)))</f>
        <v>1</v>
      </c>
      <c r="U40">
        <f>IF(T40=1,IF(COUNTIFS($C$2:C40,C40,$T$2:T40,1)=1,1,0),0)</f>
        <v>0</v>
      </c>
    </row>
    <row r="41" spans="1:21" ht="15" customHeight="1">
      <c r="A41" t="s">
        <v>1013</v>
      </c>
      <c r="B41" s="2">
        <v>46061</v>
      </c>
      <c r="C41" t="s">
        <v>412</v>
      </c>
      <c r="D41" t="s">
        <v>413</v>
      </c>
      <c r="E41" t="s">
        <v>414</v>
      </c>
      <c r="F41" t="s">
        <v>22</v>
      </c>
      <c r="G41" t="s">
        <v>23</v>
      </c>
      <c r="H41" t="s">
        <v>19</v>
      </c>
      <c r="I41">
        <v>4</v>
      </c>
      <c r="J41" s="1">
        <v>25</v>
      </c>
      <c r="K41" s="8">
        <v>5</v>
      </c>
      <c r="L41" s="1">
        <v>95</v>
      </c>
      <c r="M41" t="s">
        <v>950</v>
      </c>
      <c r="N41" t="s">
        <v>411</v>
      </c>
      <c r="O41" t="s">
        <v>951</v>
      </c>
      <c r="P41" t="s">
        <v>1148</v>
      </c>
      <c r="R41">
        <f t="shared" si="2"/>
        <v>2026</v>
      </c>
      <c r="S41">
        <f t="shared" si="3"/>
        <v>2</v>
      </c>
      <c r="T41">
        <f>IF(OR(O41="Cancelada",O41="Devolvida"),0,IF('03_DASHBOARD'!$B$5="Todos",1,IF(R41=VALUE('03_DASHBOARD'!$B$5),1,0))*IF('03_DASHBOARD'!$D$5="Todos",1,IF(S41=VLOOKUP('03_DASHBOARD'!$D$5,Listas_Dashboard!$A$2:$B$13,2,FALSE()),1,0))*IF('03_DASHBOARD'!$F$5="Todos",1,IF(N41='03_DASHBOARD'!$F$5,1,0))*IF('03_DASHBOARD'!$H$5="Todos",1,IF(H41='03_DASHBOARD'!$H$5,1,0))*IF('03_DASHBOARD'!$J$5="Todos",1,IF(M41='03_DASHBOARD'!$J$5,1,0)))</f>
        <v>1</v>
      </c>
      <c r="U41">
        <f>IF(T41=1,IF(COUNTIFS($C$2:C41,C41,$T$2:T41,1)=1,1,0),0)</f>
        <v>0</v>
      </c>
    </row>
    <row r="42" spans="1:21" ht="15" customHeight="1">
      <c r="A42" t="s">
        <v>1014</v>
      </c>
      <c r="B42" s="2">
        <v>46062</v>
      </c>
      <c r="C42" t="s">
        <v>541</v>
      </c>
      <c r="D42" t="s">
        <v>542</v>
      </c>
      <c r="E42" t="s">
        <v>407</v>
      </c>
      <c r="F42" t="s">
        <v>121</v>
      </c>
      <c r="G42" t="s">
        <v>122</v>
      </c>
      <c r="H42" t="s">
        <v>123</v>
      </c>
      <c r="I42">
        <v>2</v>
      </c>
      <c r="J42" s="1">
        <v>699</v>
      </c>
      <c r="K42" s="8">
        <v>10</v>
      </c>
      <c r="L42" s="1">
        <v>1258.2</v>
      </c>
      <c r="M42" t="s">
        <v>1015</v>
      </c>
      <c r="N42" t="s">
        <v>404</v>
      </c>
      <c r="O42" t="s">
        <v>951</v>
      </c>
      <c r="P42" t="s">
        <v>1148</v>
      </c>
      <c r="R42">
        <f t="shared" si="2"/>
        <v>2026</v>
      </c>
      <c r="S42">
        <f t="shared" si="3"/>
        <v>2</v>
      </c>
      <c r="T42">
        <f>IF(OR(O42="Cancelada",O42="Devolvida"),0,IF('03_DASHBOARD'!$B$5="Todos",1,IF(R42=VALUE('03_DASHBOARD'!$B$5),1,0))*IF('03_DASHBOARD'!$D$5="Todos",1,IF(S42=VLOOKUP('03_DASHBOARD'!$D$5,Listas_Dashboard!$A$2:$B$13,2,FALSE()),1,0))*IF('03_DASHBOARD'!$F$5="Todos",1,IF(N42='03_DASHBOARD'!$F$5,1,0))*IF('03_DASHBOARD'!$H$5="Todos",1,IF(H42='03_DASHBOARD'!$H$5,1,0))*IF('03_DASHBOARD'!$J$5="Todos",1,IF(M42='03_DASHBOARD'!$J$5,1,0)))</f>
        <v>1</v>
      </c>
      <c r="U42">
        <f>IF(T42=1,IF(COUNTIFS($C$2:C42,C42,$T$2:T42,1)=1,1,0),0)</f>
        <v>1</v>
      </c>
    </row>
    <row r="43" spans="1:21" ht="15" customHeight="1">
      <c r="A43" t="s">
        <v>1016</v>
      </c>
      <c r="B43" s="2">
        <v>46063</v>
      </c>
      <c r="C43" t="s">
        <v>545</v>
      </c>
      <c r="D43" t="s">
        <v>546</v>
      </c>
      <c r="E43" t="s">
        <v>420</v>
      </c>
      <c r="F43" t="s">
        <v>126</v>
      </c>
      <c r="G43" t="s">
        <v>122</v>
      </c>
      <c r="H43" t="s">
        <v>123</v>
      </c>
      <c r="I43">
        <v>1</v>
      </c>
      <c r="J43" s="1">
        <v>649</v>
      </c>
      <c r="K43" s="8">
        <v>15</v>
      </c>
      <c r="L43" s="1">
        <v>551.65</v>
      </c>
      <c r="M43" t="s">
        <v>1017</v>
      </c>
      <c r="N43" t="s">
        <v>536</v>
      </c>
      <c r="O43" t="s">
        <v>951</v>
      </c>
      <c r="P43" t="s">
        <v>1148</v>
      </c>
      <c r="R43">
        <f t="shared" si="2"/>
        <v>2026</v>
      </c>
      <c r="S43">
        <f t="shared" si="3"/>
        <v>2</v>
      </c>
      <c r="T43">
        <f>IF(OR(O43="Cancelada",O43="Devolvida"),0,IF('03_DASHBOARD'!$B$5="Todos",1,IF(R43=VALUE('03_DASHBOARD'!$B$5),1,0))*IF('03_DASHBOARD'!$D$5="Todos",1,IF(S43=VLOOKUP('03_DASHBOARD'!$D$5,Listas_Dashboard!$A$2:$B$13,2,FALSE()),1,0))*IF('03_DASHBOARD'!$F$5="Todos",1,IF(N43='03_DASHBOARD'!$F$5,1,0))*IF('03_DASHBOARD'!$H$5="Todos",1,IF(H43='03_DASHBOARD'!$H$5,1,0))*IF('03_DASHBOARD'!$J$5="Todos",1,IF(M43='03_DASHBOARD'!$J$5,1,0)))</f>
        <v>1</v>
      </c>
      <c r="U43">
        <f>IF(T43=1,IF(COUNTIFS($C$2:C43,C43,$T$2:T43,1)=1,1,0),0)</f>
        <v>1</v>
      </c>
    </row>
    <row r="44" spans="1:21" ht="15" customHeight="1">
      <c r="A44" t="s">
        <v>1018</v>
      </c>
      <c r="B44" s="2">
        <v>46064</v>
      </c>
      <c r="C44" t="s">
        <v>549</v>
      </c>
      <c r="D44" t="s">
        <v>550</v>
      </c>
      <c r="E44" t="s">
        <v>551</v>
      </c>
      <c r="F44" t="s">
        <v>129</v>
      </c>
      <c r="G44" t="s">
        <v>130</v>
      </c>
      <c r="H44" t="s">
        <v>123</v>
      </c>
      <c r="I44">
        <v>3</v>
      </c>
      <c r="J44" s="1">
        <v>699</v>
      </c>
      <c r="K44" s="8">
        <v>0</v>
      </c>
      <c r="L44" s="1">
        <v>2097</v>
      </c>
      <c r="M44" t="s">
        <v>1019</v>
      </c>
      <c r="N44" t="s">
        <v>411</v>
      </c>
      <c r="O44" t="s">
        <v>951</v>
      </c>
      <c r="P44" t="s">
        <v>1148</v>
      </c>
      <c r="R44">
        <f t="shared" si="2"/>
        <v>2026</v>
      </c>
      <c r="S44">
        <f t="shared" si="3"/>
        <v>2</v>
      </c>
      <c r="T44">
        <f>IF(OR(O44="Cancelada",O44="Devolvida"),0,IF('03_DASHBOARD'!$B$5="Todos",1,IF(R44=VALUE('03_DASHBOARD'!$B$5),1,0))*IF('03_DASHBOARD'!$D$5="Todos",1,IF(S44=VLOOKUP('03_DASHBOARD'!$D$5,Listas_Dashboard!$A$2:$B$13,2,FALSE()),1,0))*IF('03_DASHBOARD'!$F$5="Todos",1,IF(N44='03_DASHBOARD'!$F$5,1,0))*IF('03_DASHBOARD'!$H$5="Todos",1,IF(H44='03_DASHBOARD'!$H$5,1,0))*IF('03_DASHBOARD'!$J$5="Todos",1,IF(M44='03_DASHBOARD'!$J$5,1,0)))</f>
        <v>1</v>
      </c>
      <c r="U44">
        <f>IF(T44=1,IF(COUNTIFS($C$2:C44,C44,$T$2:T44,1)=1,1,0),0)</f>
        <v>1</v>
      </c>
    </row>
    <row r="45" spans="1:21" ht="15" customHeight="1">
      <c r="A45" t="s">
        <v>1020</v>
      </c>
      <c r="B45" s="2">
        <v>46065</v>
      </c>
      <c r="C45" t="s">
        <v>554</v>
      </c>
      <c r="D45" t="s">
        <v>555</v>
      </c>
      <c r="E45" t="s">
        <v>401</v>
      </c>
      <c r="F45" t="s">
        <v>133</v>
      </c>
      <c r="G45" t="s">
        <v>134</v>
      </c>
      <c r="H45" t="s">
        <v>61</v>
      </c>
      <c r="I45">
        <v>5</v>
      </c>
      <c r="J45" s="1">
        <v>39</v>
      </c>
      <c r="K45" s="8">
        <v>5</v>
      </c>
      <c r="L45" s="1">
        <v>185.25</v>
      </c>
      <c r="M45" t="s">
        <v>1015</v>
      </c>
      <c r="N45" t="s">
        <v>1021</v>
      </c>
      <c r="O45" t="s">
        <v>951</v>
      </c>
      <c r="P45" t="s">
        <v>1148</v>
      </c>
      <c r="R45">
        <f t="shared" si="2"/>
        <v>2026</v>
      </c>
      <c r="S45">
        <f t="shared" si="3"/>
        <v>2</v>
      </c>
      <c r="T45">
        <f>IF(OR(O45="Cancelada",O45="Devolvida"),0,IF('03_DASHBOARD'!$B$5="Todos",1,IF(R45=VALUE('03_DASHBOARD'!$B$5),1,0))*IF('03_DASHBOARD'!$D$5="Todos",1,IF(S45=VLOOKUP('03_DASHBOARD'!$D$5,Listas_Dashboard!$A$2:$B$13,2,FALSE()),1,0))*IF('03_DASHBOARD'!$F$5="Todos",1,IF(N45='03_DASHBOARD'!$F$5,1,0))*IF('03_DASHBOARD'!$H$5="Todos",1,IF(H45='03_DASHBOARD'!$H$5,1,0))*IF('03_DASHBOARD'!$J$5="Todos",1,IF(M45='03_DASHBOARD'!$J$5,1,0)))</f>
        <v>1</v>
      </c>
      <c r="U45">
        <f>IF(T45=1,IF(COUNTIFS($C$2:C45,C45,$T$2:T45,1)=1,1,0),0)</f>
        <v>1</v>
      </c>
    </row>
    <row r="46" spans="1:21" ht="15" customHeight="1">
      <c r="A46" t="s">
        <v>1022</v>
      </c>
      <c r="B46" s="2">
        <v>46066</v>
      </c>
      <c r="C46" t="s">
        <v>559</v>
      </c>
      <c r="D46" t="s">
        <v>560</v>
      </c>
      <c r="E46" t="s">
        <v>414</v>
      </c>
      <c r="F46" t="s">
        <v>137</v>
      </c>
      <c r="G46" t="s">
        <v>138</v>
      </c>
      <c r="H46" t="s">
        <v>61</v>
      </c>
      <c r="I46">
        <v>1</v>
      </c>
      <c r="J46" s="1">
        <v>39</v>
      </c>
      <c r="K46" s="8">
        <v>0</v>
      </c>
      <c r="L46" s="1">
        <v>39</v>
      </c>
      <c r="M46" t="s">
        <v>950</v>
      </c>
      <c r="N46" t="s">
        <v>404</v>
      </c>
      <c r="O46" t="s">
        <v>951</v>
      </c>
      <c r="P46" t="s">
        <v>1148</v>
      </c>
      <c r="R46">
        <f t="shared" si="2"/>
        <v>2026</v>
      </c>
      <c r="S46">
        <f t="shared" si="3"/>
        <v>2</v>
      </c>
      <c r="T46">
        <f>IF(OR(O46="Cancelada",O46="Devolvida"),0,IF('03_DASHBOARD'!$B$5="Todos",1,IF(R46=VALUE('03_DASHBOARD'!$B$5),1,0))*IF('03_DASHBOARD'!$D$5="Todos",1,IF(S46=VLOOKUP('03_DASHBOARD'!$D$5,Listas_Dashboard!$A$2:$B$13,2,FALSE()),1,0))*IF('03_DASHBOARD'!$F$5="Todos",1,IF(N46='03_DASHBOARD'!$F$5,1,0))*IF('03_DASHBOARD'!$H$5="Todos",1,IF(H46='03_DASHBOARD'!$H$5,1,0))*IF('03_DASHBOARD'!$J$5="Todos",1,IF(M46='03_DASHBOARD'!$J$5,1,0)))</f>
        <v>1</v>
      </c>
      <c r="U46">
        <f>IF(T46=1,IF(COUNTIFS($C$2:C46,C46,$T$2:T46,1)=1,1,0),0)</f>
        <v>1</v>
      </c>
    </row>
    <row r="47" spans="1:21" ht="15" customHeight="1">
      <c r="A47" t="s">
        <v>1023</v>
      </c>
      <c r="B47" s="2">
        <v>46067</v>
      </c>
      <c r="C47" t="s">
        <v>563</v>
      </c>
      <c r="D47" t="s">
        <v>564</v>
      </c>
      <c r="E47" t="s">
        <v>431</v>
      </c>
      <c r="F47" t="s">
        <v>141</v>
      </c>
      <c r="G47" t="s">
        <v>142</v>
      </c>
      <c r="H47" t="s">
        <v>61</v>
      </c>
      <c r="I47">
        <v>2</v>
      </c>
      <c r="J47" s="1">
        <v>22</v>
      </c>
      <c r="K47" s="8">
        <v>0</v>
      </c>
      <c r="L47" s="1">
        <v>44</v>
      </c>
      <c r="M47" t="s">
        <v>954</v>
      </c>
      <c r="N47" t="s">
        <v>396</v>
      </c>
      <c r="O47" t="s">
        <v>991</v>
      </c>
      <c r="P47" t="s">
        <v>1150</v>
      </c>
      <c r="R47">
        <f t="shared" si="2"/>
        <v>2026</v>
      </c>
      <c r="S47">
        <f t="shared" si="3"/>
        <v>2</v>
      </c>
      <c r="T47">
        <f>IF(OR(O47="Cancelada",O47="Devolvida"),0,IF('03_DASHBOARD'!$B$5="Todos",1,IF(R47=VALUE('03_DASHBOARD'!$B$5),1,0))*IF('03_DASHBOARD'!$D$5="Todos",1,IF(S47=VLOOKUP('03_DASHBOARD'!$D$5,Listas_Dashboard!$A$2:$B$13,2,FALSE()),1,0))*IF('03_DASHBOARD'!$F$5="Todos",1,IF(N47='03_DASHBOARD'!$F$5,1,0))*IF('03_DASHBOARD'!$H$5="Todos",1,IF(H47='03_DASHBOARD'!$H$5,1,0))*IF('03_DASHBOARD'!$J$5="Todos",1,IF(M47='03_DASHBOARD'!$J$5,1,0)))</f>
        <v>1</v>
      </c>
      <c r="U47">
        <f>IF(T47=1,IF(COUNTIFS($C$2:C47,C47,$T$2:T47,1)=1,1,0),0)</f>
        <v>1</v>
      </c>
    </row>
    <row r="48" spans="1:21" ht="15" customHeight="1">
      <c r="A48" t="s">
        <v>1024</v>
      </c>
      <c r="B48" s="2">
        <v>46068</v>
      </c>
      <c r="C48" t="s">
        <v>567</v>
      </c>
      <c r="D48" t="s">
        <v>568</v>
      </c>
      <c r="E48" t="s">
        <v>407</v>
      </c>
      <c r="F48" t="s">
        <v>143</v>
      </c>
      <c r="G48" t="s">
        <v>144</v>
      </c>
      <c r="H48" t="s">
        <v>61</v>
      </c>
      <c r="I48">
        <v>1</v>
      </c>
      <c r="J48" s="1">
        <v>34</v>
      </c>
      <c r="K48" s="8">
        <v>0</v>
      </c>
      <c r="L48" s="1">
        <v>34</v>
      </c>
      <c r="M48" t="s">
        <v>959</v>
      </c>
      <c r="N48" t="s">
        <v>395</v>
      </c>
      <c r="O48" t="s">
        <v>951</v>
      </c>
      <c r="P48" t="s">
        <v>1148</v>
      </c>
      <c r="R48">
        <f t="shared" si="2"/>
        <v>2026</v>
      </c>
      <c r="S48">
        <f t="shared" si="3"/>
        <v>2</v>
      </c>
      <c r="T48">
        <f>IF(OR(O48="Cancelada",O48="Devolvida"),0,IF('03_DASHBOARD'!$B$5="Todos",1,IF(R48=VALUE('03_DASHBOARD'!$B$5),1,0))*IF('03_DASHBOARD'!$D$5="Todos",1,IF(S48=VLOOKUP('03_DASHBOARD'!$D$5,Listas_Dashboard!$A$2:$B$13,2,FALSE()),1,0))*IF('03_DASHBOARD'!$F$5="Todos",1,IF(N48='03_DASHBOARD'!$F$5,1,0))*IF('03_DASHBOARD'!$H$5="Todos",1,IF(H48='03_DASHBOARD'!$H$5,1,0))*IF('03_DASHBOARD'!$J$5="Todos",1,IF(M48='03_DASHBOARD'!$J$5,1,0)))</f>
        <v>1</v>
      </c>
      <c r="U48">
        <f>IF(T48=1,IF(COUNTIFS($C$2:C48,C48,$T$2:T48,1)=1,1,0),0)</f>
        <v>1</v>
      </c>
    </row>
    <row r="49" spans="1:21" ht="15" customHeight="1">
      <c r="A49" t="s">
        <v>1025</v>
      </c>
      <c r="B49" s="2">
        <v>46069</v>
      </c>
      <c r="C49" t="s">
        <v>571</v>
      </c>
      <c r="D49" t="s">
        <v>572</v>
      </c>
      <c r="E49" t="s">
        <v>401</v>
      </c>
      <c r="F49" t="s">
        <v>147</v>
      </c>
      <c r="G49" t="s">
        <v>148</v>
      </c>
      <c r="H49" t="s">
        <v>61</v>
      </c>
      <c r="I49">
        <v>1</v>
      </c>
      <c r="J49" s="1">
        <v>149</v>
      </c>
      <c r="K49" s="8">
        <v>25</v>
      </c>
      <c r="L49" s="1">
        <v>111.75</v>
      </c>
      <c r="M49" t="s">
        <v>1017</v>
      </c>
      <c r="N49" t="s">
        <v>1026</v>
      </c>
      <c r="O49" t="s">
        <v>951</v>
      </c>
      <c r="P49" t="s">
        <v>1148</v>
      </c>
      <c r="R49">
        <f t="shared" si="2"/>
        <v>2026</v>
      </c>
      <c r="S49">
        <f t="shared" si="3"/>
        <v>2</v>
      </c>
      <c r="T49">
        <f>IF(OR(O49="Cancelada",O49="Devolvida"),0,IF('03_DASHBOARD'!$B$5="Todos",1,IF(R49=VALUE('03_DASHBOARD'!$B$5),1,0))*IF('03_DASHBOARD'!$D$5="Todos",1,IF(S49=VLOOKUP('03_DASHBOARD'!$D$5,Listas_Dashboard!$A$2:$B$13,2,FALSE()),1,0))*IF('03_DASHBOARD'!$F$5="Todos",1,IF(N49='03_DASHBOARD'!$F$5,1,0))*IF('03_DASHBOARD'!$H$5="Todos",1,IF(H49='03_DASHBOARD'!$H$5,1,0))*IF('03_DASHBOARD'!$J$5="Todos",1,IF(M49='03_DASHBOARD'!$J$5,1,0)))</f>
        <v>1</v>
      </c>
      <c r="U49">
        <f>IF(T49=1,IF(COUNTIFS($C$2:C49,C49,$T$2:T49,1)=1,1,0),0)</f>
        <v>1</v>
      </c>
    </row>
    <row r="50" spans="1:21" ht="15" customHeight="1">
      <c r="A50" t="s">
        <v>1027</v>
      </c>
      <c r="B50" s="2">
        <v>46070</v>
      </c>
      <c r="C50" t="s">
        <v>575</v>
      </c>
      <c r="D50" t="s">
        <v>576</v>
      </c>
      <c r="E50" t="s">
        <v>465</v>
      </c>
      <c r="F50" t="s">
        <v>150</v>
      </c>
      <c r="G50" t="s">
        <v>151</v>
      </c>
      <c r="H50" t="s">
        <v>61</v>
      </c>
      <c r="I50">
        <v>1</v>
      </c>
      <c r="J50" s="1">
        <v>590</v>
      </c>
      <c r="K50" s="8">
        <v>0</v>
      </c>
      <c r="L50" s="1">
        <v>590</v>
      </c>
      <c r="M50" t="s">
        <v>969</v>
      </c>
      <c r="N50" t="s">
        <v>404</v>
      </c>
      <c r="O50" t="s">
        <v>951</v>
      </c>
      <c r="P50" t="s">
        <v>1148</v>
      </c>
      <c r="R50">
        <f t="shared" si="2"/>
        <v>2026</v>
      </c>
      <c r="S50">
        <f t="shared" si="3"/>
        <v>2</v>
      </c>
      <c r="T50">
        <f>IF(OR(O50="Cancelada",O50="Devolvida"),0,IF('03_DASHBOARD'!$B$5="Todos",1,IF(R50=VALUE('03_DASHBOARD'!$B$5),1,0))*IF('03_DASHBOARD'!$D$5="Todos",1,IF(S50=VLOOKUP('03_DASHBOARD'!$D$5,Listas_Dashboard!$A$2:$B$13,2,FALSE()),1,0))*IF('03_DASHBOARD'!$F$5="Todos",1,IF(N50='03_DASHBOARD'!$F$5,1,0))*IF('03_DASHBOARD'!$H$5="Todos",1,IF(H50='03_DASHBOARD'!$H$5,1,0))*IF('03_DASHBOARD'!$J$5="Todos",1,IF(M50='03_DASHBOARD'!$J$5,1,0)))</f>
        <v>1</v>
      </c>
      <c r="U50">
        <f>IF(T50=1,IF(COUNTIFS($C$2:C50,C50,$T$2:T50,1)=1,1,0),0)</f>
        <v>1</v>
      </c>
    </row>
    <row r="51" spans="1:21" ht="15" customHeight="1">
      <c r="A51" t="s">
        <v>1028</v>
      </c>
      <c r="B51" s="2">
        <v>46071</v>
      </c>
      <c r="C51" t="s">
        <v>579</v>
      </c>
      <c r="D51" t="s">
        <v>580</v>
      </c>
      <c r="E51" t="s">
        <v>426</v>
      </c>
      <c r="F51" t="s">
        <v>154</v>
      </c>
      <c r="G51" t="s">
        <v>155</v>
      </c>
      <c r="H51" t="s">
        <v>61</v>
      </c>
      <c r="I51">
        <v>1</v>
      </c>
      <c r="J51" s="1">
        <v>170</v>
      </c>
      <c r="K51" s="8">
        <v>0</v>
      </c>
      <c r="L51" s="1">
        <v>170</v>
      </c>
      <c r="M51" t="s">
        <v>981</v>
      </c>
      <c r="N51" t="s">
        <v>536</v>
      </c>
      <c r="O51" t="s">
        <v>951</v>
      </c>
      <c r="P51" t="s">
        <v>1148</v>
      </c>
      <c r="R51">
        <f t="shared" si="2"/>
        <v>2026</v>
      </c>
      <c r="S51">
        <f t="shared" si="3"/>
        <v>2</v>
      </c>
      <c r="T51">
        <f>IF(OR(O51="Cancelada",O51="Devolvida"),0,IF('03_DASHBOARD'!$B$5="Todos",1,IF(R51=VALUE('03_DASHBOARD'!$B$5),1,0))*IF('03_DASHBOARD'!$D$5="Todos",1,IF(S51=VLOOKUP('03_DASHBOARD'!$D$5,Listas_Dashboard!$A$2:$B$13,2,FALSE()),1,0))*IF('03_DASHBOARD'!$F$5="Todos",1,IF(N51='03_DASHBOARD'!$F$5,1,0))*IF('03_DASHBOARD'!$H$5="Todos",1,IF(H51='03_DASHBOARD'!$H$5,1,0))*IF('03_DASHBOARD'!$J$5="Todos",1,IF(M51='03_DASHBOARD'!$J$5,1,0)))</f>
        <v>1</v>
      </c>
      <c r="U51">
        <f>IF(T51=1,IF(COUNTIFS($C$2:C51,C51,$T$2:T51,1)=1,1,0),0)</f>
        <v>1</v>
      </c>
    </row>
    <row r="52" spans="1:21" ht="15" customHeight="1">
      <c r="A52" t="s">
        <v>1029</v>
      </c>
      <c r="B52" s="2">
        <v>46072</v>
      </c>
      <c r="C52" t="s">
        <v>583</v>
      </c>
      <c r="D52" t="s">
        <v>584</v>
      </c>
      <c r="E52" t="s">
        <v>420</v>
      </c>
      <c r="F52" t="s">
        <v>156</v>
      </c>
      <c r="G52" t="s">
        <v>157</v>
      </c>
      <c r="H52" t="s">
        <v>61</v>
      </c>
      <c r="I52">
        <v>2</v>
      </c>
      <c r="J52" s="1">
        <v>149</v>
      </c>
      <c r="K52" s="8">
        <v>0</v>
      </c>
      <c r="L52" s="1">
        <v>298</v>
      </c>
      <c r="M52" t="s">
        <v>950</v>
      </c>
      <c r="N52" t="s">
        <v>404</v>
      </c>
      <c r="O52" t="s">
        <v>951</v>
      </c>
      <c r="P52" t="s">
        <v>1148</v>
      </c>
      <c r="R52">
        <f t="shared" si="2"/>
        <v>2026</v>
      </c>
      <c r="S52">
        <f t="shared" si="3"/>
        <v>2</v>
      </c>
      <c r="T52">
        <f>IF(OR(O52="Cancelada",O52="Devolvida"),0,IF('03_DASHBOARD'!$B$5="Todos",1,IF(R52=VALUE('03_DASHBOARD'!$B$5),1,0))*IF('03_DASHBOARD'!$D$5="Todos",1,IF(S52=VLOOKUP('03_DASHBOARD'!$D$5,Listas_Dashboard!$A$2:$B$13,2,FALSE()),1,0))*IF('03_DASHBOARD'!$F$5="Todos",1,IF(N52='03_DASHBOARD'!$F$5,1,0))*IF('03_DASHBOARD'!$H$5="Todos",1,IF(H52='03_DASHBOARD'!$H$5,1,0))*IF('03_DASHBOARD'!$J$5="Todos",1,IF(M52='03_DASHBOARD'!$J$5,1,0)))</f>
        <v>1</v>
      </c>
      <c r="U52">
        <f>IF(T52=1,IF(COUNTIFS($C$2:C52,C52,$T$2:T52,1)=1,1,0),0)</f>
        <v>1</v>
      </c>
    </row>
    <row r="53" spans="1:21" ht="15" customHeight="1">
      <c r="A53" t="s">
        <v>1030</v>
      </c>
      <c r="B53" s="2">
        <v>46073</v>
      </c>
      <c r="C53" t="s">
        <v>587</v>
      </c>
      <c r="D53" t="s">
        <v>588</v>
      </c>
      <c r="E53" t="s">
        <v>407</v>
      </c>
      <c r="F53" t="s">
        <v>159</v>
      </c>
      <c r="G53" t="s">
        <v>160</v>
      </c>
      <c r="H53" t="s">
        <v>161</v>
      </c>
      <c r="I53">
        <v>1</v>
      </c>
      <c r="J53" s="1">
        <v>590</v>
      </c>
      <c r="K53" s="8">
        <v>10</v>
      </c>
      <c r="L53" s="1">
        <v>531</v>
      </c>
      <c r="M53" t="s">
        <v>954</v>
      </c>
      <c r="N53" t="s">
        <v>536</v>
      </c>
      <c r="O53" t="s">
        <v>951</v>
      </c>
      <c r="P53" t="s">
        <v>1148</v>
      </c>
      <c r="R53">
        <f t="shared" si="2"/>
        <v>2026</v>
      </c>
      <c r="S53">
        <f t="shared" si="3"/>
        <v>2</v>
      </c>
      <c r="T53">
        <f>IF(OR(O53="Cancelada",O53="Devolvida"),0,IF('03_DASHBOARD'!$B$5="Todos",1,IF(R53=VALUE('03_DASHBOARD'!$B$5),1,0))*IF('03_DASHBOARD'!$D$5="Todos",1,IF(S53=VLOOKUP('03_DASHBOARD'!$D$5,Listas_Dashboard!$A$2:$B$13,2,FALSE()),1,0))*IF('03_DASHBOARD'!$F$5="Todos",1,IF(N53='03_DASHBOARD'!$F$5,1,0))*IF('03_DASHBOARD'!$H$5="Todos",1,IF(H53='03_DASHBOARD'!$H$5,1,0))*IF('03_DASHBOARD'!$J$5="Todos",1,IF(M53='03_DASHBOARD'!$J$5,1,0)))</f>
        <v>1</v>
      </c>
      <c r="U53">
        <f>IF(T53=1,IF(COUNTIFS($C$2:C53,C53,$T$2:T53,1)=1,1,0),0)</f>
        <v>1</v>
      </c>
    </row>
    <row r="54" spans="1:21" ht="15" customHeight="1">
      <c r="A54" t="s">
        <v>1031</v>
      </c>
      <c r="B54" s="2">
        <v>46074</v>
      </c>
      <c r="C54" t="s">
        <v>591</v>
      </c>
      <c r="D54" t="s">
        <v>592</v>
      </c>
      <c r="E54" t="s">
        <v>401</v>
      </c>
      <c r="F54" t="s">
        <v>163</v>
      </c>
      <c r="G54" t="s">
        <v>164</v>
      </c>
      <c r="H54" t="s">
        <v>161</v>
      </c>
      <c r="I54">
        <v>1</v>
      </c>
      <c r="J54" s="1">
        <v>590</v>
      </c>
      <c r="K54" s="8">
        <v>0</v>
      </c>
      <c r="L54" s="1">
        <v>590</v>
      </c>
      <c r="M54" t="s">
        <v>959</v>
      </c>
      <c r="N54" t="s">
        <v>411</v>
      </c>
      <c r="O54" t="s">
        <v>951</v>
      </c>
      <c r="P54" t="s">
        <v>1148</v>
      </c>
      <c r="R54">
        <f t="shared" si="2"/>
        <v>2026</v>
      </c>
      <c r="S54">
        <f t="shared" si="3"/>
        <v>2</v>
      </c>
      <c r="T54">
        <f>IF(OR(O54="Cancelada",O54="Devolvida"),0,IF('03_DASHBOARD'!$B$5="Todos",1,IF(R54=VALUE('03_DASHBOARD'!$B$5),1,0))*IF('03_DASHBOARD'!$D$5="Todos",1,IF(S54=VLOOKUP('03_DASHBOARD'!$D$5,Listas_Dashboard!$A$2:$B$13,2,FALSE()),1,0))*IF('03_DASHBOARD'!$F$5="Todos",1,IF(N54='03_DASHBOARD'!$F$5,1,0))*IF('03_DASHBOARD'!$H$5="Todos",1,IF(H54='03_DASHBOARD'!$H$5,1,0))*IF('03_DASHBOARD'!$J$5="Todos",1,IF(M54='03_DASHBOARD'!$J$5,1,0)))</f>
        <v>1</v>
      </c>
      <c r="U54">
        <f>IF(T54=1,IF(COUNTIFS($C$2:C54,C54,$T$2:T54,1)=1,1,0),0)</f>
        <v>1</v>
      </c>
    </row>
    <row r="55" spans="1:21" ht="15" customHeight="1">
      <c r="A55" t="s">
        <v>1032</v>
      </c>
      <c r="B55" s="2">
        <v>46075</v>
      </c>
      <c r="C55" t="s">
        <v>594</v>
      </c>
      <c r="D55" t="s">
        <v>595</v>
      </c>
      <c r="E55" t="s">
        <v>414</v>
      </c>
      <c r="F55" t="s">
        <v>167</v>
      </c>
      <c r="G55" t="s">
        <v>168</v>
      </c>
      <c r="H55" t="s">
        <v>45</v>
      </c>
      <c r="I55">
        <v>2</v>
      </c>
      <c r="J55" s="1">
        <v>170</v>
      </c>
      <c r="K55" s="8">
        <v>5</v>
      </c>
      <c r="L55" s="1">
        <v>323</v>
      </c>
      <c r="M55" t="s">
        <v>1015</v>
      </c>
      <c r="N55" t="s">
        <v>404</v>
      </c>
      <c r="O55" t="s">
        <v>951</v>
      </c>
      <c r="P55" t="s">
        <v>1148</v>
      </c>
      <c r="R55">
        <f t="shared" si="2"/>
        <v>2026</v>
      </c>
      <c r="S55">
        <f t="shared" si="3"/>
        <v>2</v>
      </c>
      <c r="T55">
        <f>IF(OR(O55="Cancelada",O55="Devolvida"),0,IF('03_DASHBOARD'!$B$5="Todos",1,IF(R55=VALUE('03_DASHBOARD'!$B$5),1,0))*IF('03_DASHBOARD'!$D$5="Todos",1,IF(S55=VLOOKUP('03_DASHBOARD'!$D$5,Listas_Dashboard!$A$2:$B$13,2,FALSE()),1,0))*IF('03_DASHBOARD'!$F$5="Todos",1,IF(N55='03_DASHBOARD'!$F$5,1,0))*IF('03_DASHBOARD'!$H$5="Todos",1,IF(H55='03_DASHBOARD'!$H$5,1,0))*IF('03_DASHBOARD'!$J$5="Todos",1,IF(M55='03_DASHBOARD'!$J$5,1,0)))</f>
        <v>1</v>
      </c>
      <c r="U55">
        <f>IF(T55=1,IF(COUNTIFS($C$2:C55,C55,$T$2:T55,1)=1,1,0),0)</f>
        <v>1</v>
      </c>
    </row>
    <row r="56" spans="1:21" ht="15" customHeight="1">
      <c r="A56" t="s">
        <v>1033</v>
      </c>
      <c r="B56" s="2">
        <v>46076</v>
      </c>
      <c r="C56" t="s">
        <v>598</v>
      </c>
      <c r="D56" t="s">
        <v>599</v>
      </c>
      <c r="E56" t="s">
        <v>470</v>
      </c>
      <c r="F56" t="s">
        <v>170</v>
      </c>
      <c r="G56" t="s">
        <v>168</v>
      </c>
      <c r="H56" t="s">
        <v>171</v>
      </c>
      <c r="I56">
        <v>1</v>
      </c>
      <c r="J56" s="1">
        <v>170</v>
      </c>
      <c r="K56" s="8">
        <v>0</v>
      </c>
      <c r="L56" s="1">
        <v>170</v>
      </c>
      <c r="M56" t="s">
        <v>1017</v>
      </c>
      <c r="N56" t="s">
        <v>404</v>
      </c>
      <c r="O56" t="s">
        <v>951</v>
      </c>
      <c r="P56" t="s">
        <v>1148</v>
      </c>
      <c r="R56">
        <f t="shared" si="2"/>
        <v>2026</v>
      </c>
      <c r="S56">
        <f t="shared" si="3"/>
        <v>2</v>
      </c>
      <c r="T56">
        <f>IF(OR(O56="Cancelada",O56="Devolvida"),0,IF('03_DASHBOARD'!$B$5="Todos",1,IF(R56=VALUE('03_DASHBOARD'!$B$5),1,0))*IF('03_DASHBOARD'!$D$5="Todos",1,IF(S56=VLOOKUP('03_DASHBOARD'!$D$5,Listas_Dashboard!$A$2:$B$13,2,FALSE()),1,0))*IF('03_DASHBOARD'!$F$5="Todos",1,IF(N56='03_DASHBOARD'!$F$5,1,0))*IF('03_DASHBOARD'!$H$5="Todos",1,IF(H56='03_DASHBOARD'!$H$5,1,0))*IF('03_DASHBOARD'!$J$5="Todos",1,IF(M56='03_DASHBOARD'!$J$5,1,0)))</f>
        <v>1</v>
      </c>
      <c r="U56">
        <f>IF(T56=1,IF(COUNTIFS($C$2:C56,C56,$T$2:T56,1)=1,1,0),0)</f>
        <v>1</v>
      </c>
    </row>
    <row r="57" spans="1:21" ht="15" customHeight="1">
      <c r="A57" t="s">
        <v>1034</v>
      </c>
      <c r="B57" s="2">
        <v>46077</v>
      </c>
      <c r="C57" t="s">
        <v>602</v>
      </c>
      <c r="D57" t="s">
        <v>603</v>
      </c>
      <c r="E57" t="s">
        <v>459</v>
      </c>
      <c r="F57" t="s">
        <v>174</v>
      </c>
      <c r="G57" t="s">
        <v>175</v>
      </c>
      <c r="H57" t="s">
        <v>176</v>
      </c>
      <c r="I57">
        <v>5</v>
      </c>
      <c r="J57" s="1">
        <v>99</v>
      </c>
      <c r="K57" s="8">
        <v>0</v>
      </c>
      <c r="L57" s="1">
        <v>495</v>
      </c>
      <c r="M57" t="s">
        <v>950</v>
      </c>
      <c r="N57" t="s">
        <v>536</v>
      </c>
      <c r="O57" t="s">
        <v>951</v>
      </c>
      <c r="P57" t="s">
        <v>1148</v>
      </c>
      <c r="R57">
        <f t="shared" si="2"/>
        <v>2026</v>
      </c>
      <c r="S57">
        <f t="shared" si="3"/>
        <v>2</v>
      </c>
      <c r="T57">
        <f>IF(OR(O57="Cancelada",O57="Devolvida"),0,IF('03_DASHBOARD'!$B$5="Todos",1,IF(R57=VALUE('03_DASHBOARD'!$B$5),1,0))*IF('03_DASHBOARD'!$D$5="Todos",1,IF(S57=VLOOKUP('03_DASHBOARD'!$D$5,Listas_Dashboard!$A$2:$B$13,2,FALSE()),1,0))*IF('03_DASHBOARD'!$F$5="Todos",1,IF(N57='03_DASHBOARD'!$F$5,1,0))*IF('03_DASHBOARD'!$H$5="Todos",1,IF(H57='03_DASHBOARD'!$H$5,1,0))*IF('03_DASHBOARD'!$J$5="Todos",1,IF(M57='03_DASHBOARD'!$J$5,1,0)))</f>
        <v>1</v>
      </c>
      <c r="U57">
        <f>IF(T57=1,IF(COUNTIFS($C$2:C57,C57,$T$2:T57,1)=1,1,0),0)</f>
        <v>1</v>
      </c>
    </row>
    <row r="58" spans="1:21" ht="15" customHeight="1">
      <c r="A58" t="s">
        <v>1035</v>
      </c>
      <c r="B58" s="2">
        <v>46078</v>
      </c>
      <c r="C58" t="s">
        <v>605</v>
      </c>
      <c r="D58" t="s">
        <v>606</v>
      </c>
      <c r="E58" t="s">
        <v>401</v>
      </c>
      <c r="F58" t="s">
        <v>181</v>
      </c>
      <c r="G58" t="s">
        <v>182</v>
      </c>
      <c r="H58" t="s">
        <v>176</v>
      </c>
      <c r="I58">
        <v>2</v>
      </c>
      <c r="J58" s="1">
        <v>99</v>
      </c>
      <c r="K58" s="8">
        <v>0</v>
      </c>
      <c r="L58" s="1">
        <v>198</v>
      </c>
      <c r="M58" t="s">
        <v>954</v>
      </c>
      <c r="N58" t="s">
        <v>404</v>
      </c>
      <c r="O58" t="s">
        <v>951</v>
      </c>
      <c r="P58" t="s">
        <v>1148</v>
      </c>
      <c r="R58">
        <f t="shared" si="2"/>
        <v>2026</v>
      </c>
      <c r="S58">
        <f t="shared" si="3"/>
        <v>2</v>
      </c>
      <c r="T58">
        <f>IF(OR(O58="Cancelada",O58="Devolvida"),0,IF('03_DASHBOARD'!$B$5="Todos",1,IF(R58=VALUE('03_DASHBOARD'!$B$5),1,0))*IF('03_DASHBOARD'!$D$5="Todos",1,IF(S58=VLOOKUP('03_DASHBOARD'!$D$5,Listas_Dashboard!$A$2:$B$13,2,FALSE()),1,0))*IF('03_DASHBOARD'!$F$5="Todos",1,IF(N58='03_DASHBOARD'!$F$5,1,0))*IF('03_DASHBOARD'!$H$5="Todos",1,IF(H58='03_DASHBOARD'!$H$5,1,0))*IF('03_DASHBOARD'!$J$5="Todos",1,IF(M58='03_DASHBOARD'!$J$5,1,0)))</f>
        <v>1</v>
      </c>
      <c r="U58">
        <f>IF(T58=1,IF(COUNTIFS($C$2:C58,C58,$T$2:T58,1)=1,1,0),0)</f>
        <v>1</v>
      </c>
    </row>
    <row r="59" spans="1:21" ht="15" customHeight="1">
      <c r="A59" t="s">
        <v>1036</v>
      </c>
      <c r="B59" s="2">
        <v>46079</v>
      </c>
      <c r="C59" t="s">
        <v>608</v>
      </c>
      <c r="D59" t="s">
        <v>609</v>
      </c>
      <c r="E59" t="s">
        <v>479</v>
      </c>
      <c r="F59" t="s">
        <v>184</v>
      </c>
      <c r="G59" t="s">
        <v>185</v>
      </c>
      <c r="H59" t="s">
        <v>176</v>
      </c>
      <c r="I59">
        <v>3</v>
      </c>
      <c r="J59" s="1">
        <v>45</v>
      </c>
      <c r="K59" s="8">
        <v>15</v>
      </c>
      <c r="L59" s="1">
        <v>114.75</v>
      </c>
      <c r="M59" t="s">
        <v>1019</v>
      </c>
      <c r="N59" t="s">
        <v>411</v>
      </c>
      <c r="O59" t="s">
        <v>951</v>
      </c>
      <c r="P59" t="s">
        <v>1148</v>
      </c>
      <c r="R59">
        <f t="shared" si="2"/>
        <v>2026</v>
      </c>
      <c r="S59">
        <f t="shared" si="3"/>
        <v>2</v>
      </c>
      <c r="T59">
        <f>IF(OR(O59="Cancelada",O59="Devolvida"),0,IF('03_DASHBOARD'!$B$5="Todos",1,IF(R59=VALUE('03_DASHBOARD'!$B$5),1,0))*IF('03_DASHBOARD'!$D$5="Todos",1,IF(S59=VLOOKUP('03_DASHBOARD'!$D$5,Listas_Dashboard!$A$2:$B$13,2,FALSE()),1,0))*IF('03_DASHBOARD'!$F$5="Todos",1,IF(N59='03_DASHBOARD'!$F$5,1,0))*IF('03_DASHBOARD'!$H$5="Todos",1,IF(H59='03_DASHBOARD'!$H$5,1,0))*IF('03_DASHBOARD'!$J$5="Todos",1,IF(M59='03_DASHBOARD'!$J$5,1,0)))</f>
        <v>1</v>
      </c>
      <c r="U59">
        <f>IF(T59=1,IF(COUNTIFS($C$2:C59,C59,$T$2:T59,1)=1,1,0),0)</f>
        <v>1</v>
      </c>
    </row>
    <row r="60" spans="1:21" ht="15" customHeight="1">
      <c r="A60" t="s">
        <v>1037</v>
      </c>
      <c r="B60" s="2">
        <v>46080</v>
      </c>
      <c r="C60" t="s">
        <v>612</v>
      </c>
      <c r="D60" t="s">
        <v>613</v>
      </c>
      <c r="E60" t="s">
        <v>420</v>
      </c>
      <c r="F60" t="s">
        <v>188</v>
      </c>
      <c r="G60" t="s">
        <v>189</v>
      </c>
      <c r="H60" t="s">
        <v>176</v>
      </c>
      <c r="I60">
        <v>1</v>
      </c>
      <c r="J60" s="1">
        <v>45</v>
      </c>
      <c r="K60" s="8">
        <v>0</v>
      </c>
      <c r="L60" s="1">
        <v>45</v>
      </c>
      <c r="M60" t="s">
        <v>959</v>
      </c>
      <c r="N60" t="s">
        <v>1026</v>
      </c>
      <c r="O60" t="s">
        <v>951</v>
      </c>
      <c r="P60" t="s">
        <v>1148</v>
      </c>
      <c r="R60">
        <f t="shared" si="2"/>
        <v>2026</v>
      </c>
      <c r="S60">
        <f t="shared" si="3"/>
        <v>2</v>
      </c>
      <c r="T60">
        <f>IF(OR(O60="Cancelada",O60="Devolvida"),0,IF('03_DASHBOARD'!$B$5="Todos",1,IF(R60=VALUE('03_DASHBOARD'!$B$5),1,0))*IF('03_DASHBOARD'!$D$5="Todos",1,IF(S60=VLOOKUP('03_DASHBOARD'!$D$5,Listas_Dashboard!$A$2:$B$13,2,FALSE()),1,0))*IF('03_DASHBOARD'!$F$5="Todos",1,IF(N60='03_DASHBOARD'!$F$5,1,0))*IF('03_DASHBOARD'!$H$5="Todos",1,IF(H60='03_DASHBOARD'!$H$5,1,0))*IF('03_DASHBOARD'!$J$5="Todos",1,IF(M60='03_DASHBOARD'!$J$5,1,0)))</f>
        <v>1</v>
      </c>
      <c r="U60">
        <f>IF(T60=1,IF(COUNTIFS($C$2:C60,C60,$T$2:T60,1)=1,1,0),0)</f>
        <v>1</v>
      </c>
    </row>
    <row r="61" spans="1:21" ht="15" customHeight="1">
      <c r="A61" t="s">
        <v>1038</v>
      </c>
      <c r="B61" s="2">
        <v>46081</v>
      </c>
      <c r="C61" t="s">
        <v>615</v>
      </c>
      <c r="D61" t="s">
        <v>616</v>
      </c>
      <c r="E61" t="s">
        <v>407</v>
      </c>
      <c r="F61" t="s">
        <v>192</v>
      </c>
      <c r="G61" t="s">
        <v>27</v>
      </c>
      <c r="H61" t="s">
        <v>13</v>
      </c>
      <c r="I61">
        <v>1</v>
      </c>
      <c r="J61" s="1">
        <v>850</v>
      </c>
      <c r="K61" s="8">
        <v>0</v>
      </c>
      <c r="L61" s="1">
        <v>850</v>
      </c>
      <c r="M61" t="s">
        <v>969</v>
      </c>
      <c r="N61" t="s">
        <v>404</v>
      </c>
      <c r="O61" t="s">
        <v>951</v>
      </c>
      <c r="P61" t="s">
        <v>1148</v>
      </c>
      <c r="Q61" t="s">
        <v>194</v>
      </c>
      <c r="R61">
        <f t="shared" si="2"/>
        <v>2026</v>
      </c>
      <c r="S61">
        <f t="shared" si="3"/>
        <v>2</v>
      </c>
      <c r="T61">
        <f>IF(OR(O61="Cancelada",O61="Devolvida"),0,IF('03_DASHBOARD'!$B$5="Todos",1,IF(R61=VALUE('03_DASHBOARD'!$B$5),1,0))*IF('03_DASHBOARD'!$D$5="Todos",1,IF(S61=VLOOKUP('03_DASHBOARD'!$D$5,Listas_Dashboard!$A$2:$B$13,2,FALSE()),1,0))*IF('03_DASHBOARD'!$F$5="Todos",1,IF(N61='03_DASHBOARD'!$F$5,1,0))*IF('03_DASHBOARD'!$H$5="Todos",1,IF(H61='03_DASHBOARD'!$H$5,1,0))*IF('03_DASHBOARD'!$J$5="Todos",1,IF(M61='03_DASHBOARD'!$J$5,1,0)))</f>
        <v>1</v>
      </c>
      <c r="U61">
        <f>IF(T61=1,IF(COUNTIFS($C$2:C61,C61,$T$2:T61,1)=1,1,0),0)</f>
        <v>1</v>
      </c>
    </row>
    <row r="62" spans="1:21" ht="15" customHeight="1">
      <c r="A62" t="s">
        <v>1039</v>
      </c>
      <c r="B62" s="2">
        <v>46082</v>
      </c>
      <c r="C62" t="s">
        <v>619</v>
      </c>
      <c r="D62" t="s">
        <v>620</v>
      </c>
      <c r="E62" t="s">
        <v>401</v>
      </c>
      <c r="F62" t="s">
        <v>195</v>
      </c>
      <c r="G62" t="s">
        <v>196</v>
      </c>
      <c r="H62" t="s">
        <v>19</v>
      </c>
      <c r="I62">
        <v>4</v>
      </c>
      <c r="J62" s="1">
        <v>19.899999999999999</v>
      </c>
      <c r="K62" s="8">
        <v>0</v>
      </c>
      <c r="L62" s="1">
        <v>79.599999999999994</v>
      </c>
      <c r="M62" t="s">
        <v>954</v>
      </c>
      <c r="N62" t="s">
        <v>404</v>
      </c>
      <c r="O62" t="s">
        <v>951</v>
      </c>
      <c r="P62" t="s">
        <v>1148</v>
      </c>
      <c r="R62">
        <f t="shared" si="2"/>
        <v>2026</v>
      </c>
      <c r="S62">
        <f t="shared" si="3"/>
        <v>3</v>
      </c>
      <c r="T62">
        <f>IF(OR(O62="Cancelada",O62="Devolvida"),0,IF('03_DASHBOARD'!$B$5="Todos",1,IF(R62=VALUE('03_DASHBOARD'!$B$5),1,0))*IF('03_DASHBOARD'!$D$5="Todos",1,IF(S62=VLOOKUP('03_DASHBOARD'!$D$5,Listas_Dashboard!$A$2:$B$13,2,FALSE()),1,0))*IF('03_DASHBOARD'!$F$5="Todos",1,IF(N62='03_DASHBOARD'!$F$5,1,0))*IF('03_DASHBOARD'!$H$5="Todos",1,IF(H62='03_DASHBOARD'!$H$5,1,0))*IF('03_DASHBOARD'!$J$5="Todos",1,IF(M62='03_DASHBOARD'!$J$5,1,0)))</f>
        <v>1</v>
      </c>
      <c r="U62">
        <f>IF(T62=1,IF(COUNTIFS($C$2:C62,C62,$T$2:T62,1)=1,1,0),0)</f>
        <v>1</v>
      </c>
    </row>
    <row r="63" spans="1:21" ht="15" customHeight="1">
      <c r="A63" t="s">
        <v>1040</v>
      </c>
      <c r="B63" s="2">
        <v>46083</v>
      </c>
      <c r="C63" t="s">
        <v>623</v>
      </c>
      <c r="D63" t="s">
        <v>624</v>
      </c>
      <c r="E63" t="s">
        <v>407</v>
      </c>
      <c r="F63" t="s">
        <v>199</v>
      </c>
      <c r="G63" t="s">
        <v>200</v>
      </c>
      <c r="H63" t="s">
        <v>19</v>
      </c>
      <c r="I63">
        <v>4</v>
      </c>
      <c r="J63" s="1">
        <v>19.899999999999999</v>
      </c>
      <c r="K63" s="8">
        <v>0</v>
      </c>
      <c r="L63" s="1">
        <v>79.599999999999994</v>
      </c>
      <c r="M63" t="s">
        <v>950</v>
      </c>
      <c r="N63" t="s">
        <v>536</v>
      </c>
      <c r="O63" t="s">
        <v>951</v>
      </c>
      <c r="P63" t="s">
        <v>1148</v>
      </c>
      <c r="R63">
        <f t="shared" si="2"/>
        <v>2026</v>
      </c>
      <c r="S63">
        <f t="shared" si="3"/>
        <v>3</v>
      </c>
      <c r="T63">
        <f>IF(OR(O63="Cancelada",O63="Devolvida"),0,IF('03_DASHBOARD'!$B$5="Todos",1,IF(R63=VALUE('03_DASHBOARD'!$B$5),1,0))*IF('03_DASHBOARD'!$D$5="Todos",1,IF(S63=VLOOKUP('03_DASHBOARD'!$D$5,Listas_Dashboard!$A$2:$B$13,2,FALSE()),1,0))*IF('03_DASHBOARD'!$F$5="Todos",1,IF(N63='03_DASHBOARD'!$F$5,1,0))*IF('03_DASHBOARD'!$H$5="Todos",1,IF(H63='03_DASHBOARD'!$H$5,1,0))*IF('03_DASHBOARD'!$J$5="Todos",1,IF(M63='03_DASHBOARD'!$J$5,1,0)))</f>
        <v>1</v>
      </c>
      <c r="U63">
        <f>IF(T63=1,IF(COUNTIFS($C$2:C63,C63,$T$2:T63,1)=1,1,0),0)</f>
        <v>1</v>
      </c>
    </row>
    <row r="64" spans="1:21" ht="15" customHeight="1">
      <c r="A64" t="s">
        <v>1041</v>
      </c>
      <c r="B64" s="2">
        <v>46084</v>
      </c>
      <c r="C64" t="s">
        <v>627</v>
      </c>
      <c r="D64" t="s">
        <v>628</v>
      </c>
      <c r="E64" t="s">
        <v>420</v>
      </c>
      <c r="F64" t="s">
        <v>203</v>
      </c>
      <c r="G64" t="s">
        <v>204</v>
      </c>
      <c r="H64" t="s">
        <v>186</v>
      </c>
      <c r="I64">
        <v>2</v>
      </c>
      <c r="J64" s="1">
        <v>89</v>
      </c>
      <c r="K64" s="8">
        <v>5</v>
      </c>
      <c r="L64" s="1">
        <v>169.1</v>
      </c>
      <c r="M64" t="s">
        <v>1017</v>
      </c>
      <c r="N64" t="s">
        <v>411</v>
      </c>
      <c r="O64" t="s">
        <v>951</v>
      </c>
      <c r="P64" t="s">
        <v>1148</v>
      </c>
      <c r="R64">
        <f t="shared" si="2"/>
        <v>2026</v>
      </c>
      <c r="S64">
        <f t="shared" si="3"/>
        <v>3</v>
      </c>
      <c r="T64">
        <f>IF(OR(O64="Cancelada",O64="Devolvida"),0,IF('03_DASHBOARD'!$B$5="Todos",1,IF(R64=VALUE('03_DASHBOARD'!$B$5),1,0))*IF('03_DASHBOARD'!$D$5="Todos",1,IF(S64=VLOOKUP('03_DASHBOARD'!$D$5,Listas_Dashboard!$A$2:$B$13,2,FALSE()),1,0))*IF('03_DASHBOARD'!$F$5="Todos",1,IF(N64='03_DASHBOARD'!$F$5,1,0))*IF('03_DASHBOARD'!$H$5="Todos",1,IF(H64='03_DASHBOARD'!$H$5,1,0))*IF('03_DASHBOARD'!$J$5="Todos",1,IF(M64='03_DASHBOARD'!$J$5,1,0)))</f>
        <v>1</v>
      </c>
      <c r="U64">
        <f>IF(T64=1,IF(COUNTIFS($C$2:C64,C64,$T$2:T64,1)=1,1,0),0)</f>
        <v>1</v>
      </c>
    </row>
    <row r="65" spans="1:21" ht="15" customHeight="1">
      <c r="A65" t="s">
        <v>1042</v>
      </c>
      <c r="B65" s="2">
        <v>46085</v>
      </c>
      <c r="C65" t="s">
        <v>631</v>
      </c>
      <c r="D65" t="s">
        <v>632</v>
      </c>
      <c r="E65" t="s">
        <v>414</v>
      </c>
      <c r="F65" t="s">
        <v>207</v>
      </c>
      <c r="G65" t="s">
        <v>208</v>
      </c>
      <c r="H65" t="s">
        <v>186</v>
      </c>
      <c r="I65">
        <v>2</v>
      </c>
      <c r="J65" s="1">
        <v>89</v>
      </c>
      <c r="K65" s="8">
        <v>5</v>
      </c>
      <c r="L65" s="1">
        <v>169.1</v>
      </c>
      <c r="M65" t="s">
        <v>1015</v>
      </c>
      <c r="N65" t="s">
        <v>404</v>
      </c>
      <c r="O65" t="s">
        <v>951</v>
      </c>
      <c r="P65" t="s">
        <v>1148</v>
      </c>
      <c r="R65">
        <f t="shared" si="2"/>
        <v>2026</v>
      </c>
      <c r="S65">
        <f t="shared" si="3"/>
        <v>3</v>
      </c>
      <c r="T65">
        <f>IF(OR(O65="Cancelada",O65="Devolvida"),0,IF('03_DASHBOARD'!$B$5="Todos",1,IF(R65=VALUE('03_DASHBOARD'!$B$5),1,0))*IF('03_DASHBOARD'!$D$5="Todos",1,IF(S65=VLOOKUP('03_DASHBOARD'!$D$5,Listas_Dashboard!$A$2:$B$13,2,FALSE()),1,0))*IF('03_DASHBOARD'!$F$5="Todos",1,IF(N65='03_DASHBOARD'!$F$5,1,0))*IF('03_DASHBOARD'!$H$5="Todos",1,IF(H65='03_DASHBOARD'!$H$5,1,0))*IF('03_DASHBOARD'!$J$5="Todos",1,IF(M65='03_DASHBOARD'!$J$5,1,0)))</f>
        <v>1</v>
      </c>
      <c r="U65">
        <f>IF(T65=1,IF(COUNTIFS($C$2:C65,C65,$T$2:T65,1)=1,1,0),0)</f>
        <v>1</v>
      </c>
    </row>
    <row r="66" spans="1:21" ht="15" customHeight="1">
      <c r="A66" t="s">
        <v>1043</v>
      </c>
      <c r="B66" s="2">
        <v>46086</v>
      </c>
      <c r="C66" t="s">
        <v>635</v>
      </c>
      <c r="D66" t="s">
        <v>636</v>
      </c>
      <c r="E66" t="s">
        <v>401</v>
      </c>
      <c r="F66" t="s">
        <v>211</v>
      </c>
      <c r="G66" t="s">
        <v>212</v>
      </c>
      <c r="H66" t="s">
        <v>35</v>
      </c>
      <c r="I66">
        <v>1</v>
      </c>
      <c r="J66" s="1">
        <v>95</v>
      </c>
      <c r="K66" s="8">
        <v>0</v>
      </c>
      <c r="L66" s="1">
        <v>95</v>
      </c>
      <c r="M66" t="s">
        <v>981</v>
      </c>
      <c r="N66" t="s">
        <v>1021</v>
      </c>
      <c r="O66" t="s">
        <v>951</v>
      </c>
      <c r="P66" t="s">
        <v>1148</v>
      </c>
      <c r="R66">
        <f t="shared" ref="R66:R97" si="4">YEAR(B66)</f>
        <v>2026</v>
      </c>
      <c r="S66">
        <f t="shared" ref="S66:S97" si="5">MONTH(B66)</f>
        <v>3</v>
      </c>
      <c r="T66">
        <f>IF(OR(O66="Cancelada",O66="Devolvida"),0,IF('03_DASHBOARD'!$B$5="Todos",1,IF(R66=VALUE('03_DASHBOARD'!$B$5),1,0))*IF('03_DASHBOARD'!$D$5="Todos",1,IF(S66=VLOOKUP('03_DASHBOARD'!$D$5,Listas_Dashboard!$A$2:$B$13,2,FALSE()),1,0))*IF('03_DASHBOARD'!$F$5="Todos",1,IF(N66='03_DASHBOARD'!$F$5,1,0))*IF('03_DASHBOARD'!$H$5="Todos",1,IF(H66='03_DASHBOARD'!$H$5,1,0))*IF('03_DASHBOARD'!$J$5="Todos",1,IF(M66='03_DASHBOARD'!$J$5,1,0)))</f>
        <v>1</v>
      </c>
      <c r="U66">
        <f>IF(T66=1,IF(COUNTIFS($C$2:C66,C66,$T$2:T66,1)=1,1,0),0)</f>
        <v>1</v>
      </c>
    </row>
    <row r="67" spans="1:21" ht="15" customHeight="1">
      <c r="A67" t="s">
        <v>1044</v>
      </c>
      <c r="B67" s="2">
        <v>46087</v>
      </c>
      <c r="C67" t="s">
        <v>637</v>
      </c>
      <c r="D67" t="s">
        <v>638</v>
      </c>
      <c r="E67" t="s">
        <v>479</v>
      </c>
      <c r="F67" t="s">
        <v>214</v>
      </c>
      <c r="G67" t="s">
        <v>215</v>
      </c>
      <c r="H67" t="s">
        <v>35</v>
      </c>
      <c r="I67">
        <v>2</v>
      </c>
      <c r="J67" s="1">
        <v>95</v>
      </c>
      <c r="K67" s="8">
        <v>0</v>
      </c>
      <c r="L67" s="1">
        <v>190</v>
      </c>
      <c r="M67" t="s">
        <v>950</v>
      </c>
      <c r="N67" t="s">
        <v>404</v>
      </c>
      <c r="O67" t="s">
        <v>961</v>
      </c>
      <c r="P67" t="s">
        <v>1149</v>
      </c>
      <c r="R67">
        <f t="shared" si="4"/>
        <v>2026</v>
      </c>
      <c r="S67">
        <f t="shared" si="5"/>
        <v>3</v>
      </c>
      <c r="T67">
        <f>IF(OR(O67="Cancelada",O67="Devolvida"),0,IF('03_DASHBOARD'!$B$5="Todos",1,IF(R67=VALUE('03_DASHBOARD'!$B$5),1,0))*IF('03_DASHBOARD'!$D$5="Todos",1,IF(S67=VLOOKUP('03_DASHBOARD'!$D$5,Listas_Dashboard!$A$2:$B$13,2,FALSE()),1,0))*IF('03_DASHBOARD'!$F$5="Todos",1,IF(N67='03_DASHBOARD'!$F$5,1,0))*IF('03_DASHBOARD'!$H$5="Todos",1,IF(H67='03_DASHBOARD'!$H$5,1,0))*IF('03_DASHBOARD'!$J$5="Todos",1,IF(M67='03_DASHBOARD'!$J$5,1,0)))</f>
        <v>0</v>
      </c>
      <c r="U67">
        <f>IF(T67=1,IF(COUNTIFS($C$2:C67,C67,$T$2:T67,1)=1,1,0),0)</f>
        <v>0</v>
      </c>
    </row>
    <row r="68" spans="1:21" ht="15" customHeight="1">
      <c r="A68" t="s">
        <v>1045</v>
      </c>
      <c r="B68" s="2">
        <v>46088</v>
      </c>
      <c r="C68" t="s">
        <v>640</v>
      </c>
      <c r="D68" t="s">
        <v>641</v>
      </c>
      <c r="E68" t="s">
        <v>431</v>
      </c>
      <c r="F68" t="s">
        <v>218</v>
      </c>
      <c r="G68" t="s">
        <v>219</v>
      </c>
      <c r="H68" t="s">
        <v>35</v>
      </c>
      <c r="I68">
        <v>1</v>
      </c>
      <c r="J68" s="1">
        <v>320</v>
      </c>
      <c r="K68" s="8">
        <v>0</v>
      </c>
      <c r="L68" s="1">
        <v>320</v>
      </c>
      <c r="M68" t="s">
        <v>954</v>
      </c>
      <c r="N68" t="s">
        <v>536</v>
      </c>
      <c r="O68" t="s">
        <v>951</v>
      </c>
      <c r="P68" t="s">
        <v>1148</v>
      </c>
      <c r="R68">
        <f t="shared" si="4"/>
        <v>2026</v>
      </c>
      <c r="S68">
        <f t="shared" si="5"/>
        <v>3</v>
      </c>
      <c r="T68">
        <f>IF(OR(O68="Cancelada",O68="Devolvida"),0,IF('03_DASHBOARD'!$B$5="Todos",1,IF(R68=VALUE('03_DASHBOARD'!$B$5),1,0))*IF('03_DASHBOARD'!$D$5="Todos",1,IF(S68=VLOOKUP('03_DASHBOARD'!$D$5,Listas_Dashboard!$A$2:$B$13,2,FALSE()),1,0))*IF('03_DASHBOARD'!$F$5="Todos",1,IF(N68='03_DASHBOARD'!$F$5,1,0))*IF('03_DASHBOARD'!$H$5="Todos",1,IF(H68='03_DASHBOARD'!$H$5,1,0))*IF('03_DASHBOARD'!$J$5="Todos",1,IF(M68='03_DASHBOARD'!$J$5,1,0)))</f>
        <v>1</v>
      </c>
      <c r="U68">
        <f>IF(T68=1,IF(COUNTIFS($C$2:C68,C68,$T$2:T68,1)=1,1,0),0)</f>
        <v>1</v>
      </c>
    </row>
    <row r="69" spans="1:21" ht="15" customHeight="1">
      <c r="A69" t="s">
        <v>1046</v>
      </c>
      <c r="B69" s="2">
        <v>46089</v>
      </c>
      <c r="C69" t="s">
        <v>644</v>
      </c>
      <c r="D69" t="s">
        <v>645</v>
      </c>
      <c r="E69" t="s">
        <v>407</v>
      </c>
      <c r="F69" t="s">
        <v>222</v>
      </c>
      <c r="G69" t="s">
        <v>223</v>
      </c>
      <c r="H69" t="s">
        <v>35</v>
      </c>
      <c r="I69">
        <v>1</v>
      </c>
      <c r="J69" s="1">
        <v>320</v>
      </c>
      <c r="K69" s="8">
        <v>0</v>
      </c>
      <c r="L69" s="1">
        <v>320</v>
      </c>
      <c r="M69" t="s">
        <v>959</v>
      </c>
      <c r="N69" t="s">
        <v>404</v>
      </c>
      <c r="O69" t="s">
        <v>951</v>
      </c>
      <c r="P69" t="s">
        <v>1148</v>
      </c>
      <c r="R69">
        <f t="shared" si="4"/>
        <v>2026</v>
      </c>
      <c r="S69">
        <f t="shared" si="5"/>
        <v>3</v>
      </c>
      <c r="T69">
        <f>IF(OR(O69="Cancelada",O69="Devolvida"),0,IF('03_DASHBOARD'!$B$5="Todos",1,IF(R69=VALUE('03_DASHBOARD'!$B$5),1,0))*IF('03_DASHBOARD'!$D$5="Todos",1,IF(S69=VLOOKUP('03_DASHBOARD'!$D$5,Listas_Dashboard!$A$2:$B$13,2,FALSE()),1,0))*IF('03_DASHBOARD'!$F$5="Todos",1,IF(N69='03_DASHBOARD'!$F$5,1,0))*IF('03_DASHBOARD'!$H$5="Todos",1,IF(H69='03_DASHBOARD'!$H$5,1,0))*IF('03_DASHBOARD'!$J$5="Todos",1,IF(M69='03_DASHBOARD'!$J$5,1,0)))</f>
        <v>1</v>
      </c>
      <c r="U69">
        <f>IF(T69=1,IF(COUNTIFS($C$2:C69,C69,$T$2:T69,1)=1,1,0),0)</f>
        <v>1</v>
      </c>
    </row>
    <row r="70" spans="1:21" ht="15" customHeight="1">
      <c r="A70" t="s">
        <v>1047</v>
      </c>
      <c r="B70" s="2">
        <v>46090</v>
      </c>
      <c r="C70" t="s">
        <v>647</v>
      </c>
      <c r="D70" t="s">
        <v>648</v>
      </c>
      <c r="E70" t="s">
        <v>401</v>
      </c>
      <c r="F70" t="s">
        <v>225</v>
      </c>
      <c r="G70" t="s">
        <v>226</v>
      </c>
      <c r="H70" t="s">
        <v>53</v>
      </c>
      <c r="I70">
        <v>2</v>
      </c>
      <c r="J70" s="1">
        <v>420</v>
      </c>
      <c r="K70" s="8">
        <v>10</v>
      </c>
      <c r="L70" s="1">
        <v>756</v>
      </c>
      <c r="M70" t="s">
        <v>1017</v>
      </c>
      <c r="N70" t="s">
        <v>396</v>
      </c>
      <c r="O70" t="s">
        <v>951</v>
      </c>
      <c r="P70" t="s">
        <v>1148</v>
      </c>
      <c r="R70">
        <f t="shared" si="4"/>
        <v>2026</v>
      </c>
      <c r="S70">
        <f t="shared" si="5"/>
        <v>3</v>
      </c>
      <c r="T70">
        <f>IF(OR(O70="Cancelada",O70="Devolvida"),0,IF('03_DASHBOARD'!$B$5="Todos",1,IF(R70=VALUE('03_DASHBOARD'!$B$5),1,0))*IF('03_DASHBOARD'!$D$5="Todos",1,IF(S70=VLOOKUP('03_DASHBOARD'!$D$5,Listas_Dashboard!$A$2:$B$13,2,FALSE()),1,0))*IF('03_DASHBOARD'!$F$5="Todos",1,IF(N70='03_DASHBOARD'!$F$5,1,0))*IF('03_DASHBOARD'!$H$5="Todos",1,IF(H70='03_DASHBOARD'!$H$5,1,0))*IF('03_DASHBOARD'!$J$5="Todos",1,IF(M70='03_DASHBOARD'!$J$5,1,0)))</f>
        <v>1</v>
      </c>
      <c r="U70">
        <f>IF(T70=1,IF(COUNTIFS($C$2:C70,C70,$T$2:T70,1)=1,1,0),0)</f>
        <v>1</v>
      </c>
    </row>
    <row r="71" spans="1:21" ht="15" customHeight="1">
      <c r="A71" t="s">
        <v>1048</v>
      </c>
      <c r="B71" s="2">
        <v>46091</v>
      </c>
      <c r="C71" t="s">
        <v>650</v>
      </c>
      <c r="D71" t="s">
        <v>651</v>
      </c>
      <c r="E71" t="s">
        <v>470</v>
      </c>
      <c r="F71" t="s">
        <v>227</v>
      </c>
      <c r="G71" t="s">
        <v>226</v>
      </c>
      <c r="H71" t="s">
        <v>53</v>
      </c>
      <c r="I71">
        <v>2</v>
      </c>
      <c r="J71" s="1">
        <v>420</v>
      </c>
      <c r="K71" s="8">
        <v>10</v>
      </c>
      <c r="L71" s="1">
        <v>756</v>
      </c>
      <c r="M71" t="s">
        <v>1017</v>
      </c>
      <c r="N71" t="s">
        <v>396</v>
      </c>
      <c r="O71" t="s">
        <v>951</v>
      </c>
      <c r="P71" t="s">
        <v>1148</v>
      </c>
      <c r="R71">
        <f t="shared" si="4"/>
        <v>2026</v>
      </c>
      <c r="S71">
        <f t="shared" si="5"/>
        <v>3</v>
      </c>
      <c r="T71">
        <f>IF(OR(O71="Cancelada",O71="Devolvida"),0,IF('03_DASHBOARD'!$B$5="Todos",1,IF(R71=VALUE('03_DASHBOARD'!$B$5),1,0))*IF('03_DASHBOARD'!$D$5="Todos",1,IF(S71=VLOOKUP('03_DASHBOARD'!$D$5,Listas_Dashboard!$A$2:$B$13,2,FALSE()),1,0))*IF('03_DASHBOARD'!$F$5="Todos",1,IF(N71='03_DASHBOARD'!$F$5,1,0))*IF('03_DASHBOARD'!$H$5="Todos",1,IF(H71='03_DASHBOARD'!$H$5,1,0))*IF('03_DASHBOARD'!$J$5="Todos",1,IF(M71='03_DASHBOARD'!$J$5,1,0)))</f>
        <v>1</v>
      </c>
      <c r="U71">
        <f>IF(T71=1,IF(COUNTIFS($C$2:C71,C71,$T$2:T71,1)=1,1,0),0)</f>
        <v>1</v>
      </c>
    </row>
    <row r="72" spans="1:21" ht="15" customHeight="1">
      <c r="A72" t="s">
        <v>1049</v>
      </c>
      <c r="B72" s="2">
        <v>46092</v>
      </c>
      <c r="C72" t="s">
        <v>654</v>
      </c>
      <c r="D72" t="s">
        <v>655</v>
      </c>
      <c r="E72" t="s">
        <v>465</v>
      </c>
      <c r="F72" t="s">
        <v>230</v>
      </c>
      <c r="G72" t="s">
        <v>231</v>
      </c>
      <c r="H72" t="s">
        <v>53</v>
      </c>
      <c r="I72">
        <v>3</v>
      </c>
      <c r="J72" s="1">
        <v>195</v>
      </c>
      <c r="K72" s="8">
        <v>0</v>
      </c>
      <c r="L72" s="1">
        <v>585</v>
      </c>
      <c r="M72" t="s">
        <v>950</v>
      </c>
      <c r="N72" t="s">
        <v>404</v>
      </c>
      <c r="O72" t="s">
        <v>951</v>
      </c>
      <c r="P72" t="s">
        <v>1148</v>
      </c>
      <c r="R72">
        <f t="shared" si="4"/>
        <v>2026</v>
      </c>
      <c r="S72">
        <f t="shared" si="5"/>
        <v>3</v>
      </c>
      <c r="T72">
        <f>IF(OR(O72="Cancelada",O72="Devolvida"),0,IF('03_DASHBOARD'!$B$5="Todos",1,IF(R72=VALUE('03_DASHBOARD'!$B$5),1,0))*IF('03_DASHBOARD'!$D$5="Todos",1,IF(S72=VLOOKUP('03_DASHBOARD'!$D$5,Listas_Dashboard!$A$2:$B$13,2,FALSE()),1,0))*IF('03_DASHBOARD'!$F$5="Todos",1,IF(N72='03_DASHBOARD'!$F$5,1,0))*IF('03_DASHBOARD'!$H$5="Todos",1,IF(H72='03_DASHBOARD'!$H$5,1,0))*IF('03_DASHBOARD'!$J$5="Todos",1,IF(M72='03_DASHBOARD'!$J$5,1,0)))</f>
        <v>1</v>
      </c>
      <c r="U72">
        <f>IF(T72=1,IF(COUNTIFS($C$2:C72,C72,$T$2:T72,1)=1,1,0),0)</f>
        <v>1</v>
      </c>
    </row>
    <row r="73" spans="1:21" ht="15" customHeight="1">
      <c r="A73" t="s">
        <v>1050</v>
      </c>
      <c r="B73" s="2">
        <v>46093</v>
      </c>
      <c r="C73" t="s">
        <v>657</v>
      </c>
      <c r="D73" t="s">
        <v>658</v>
      </c>
      <c r="E73" t="s">
        <v>420</v>
      </c>
      <c r="F73" t="s">
        <v>232</v>
      </c>
      <c r="G73" t="s">
        <v>233</v>
      </c>
      <c r="H73" t="s">
        <v>53</v>
      </c>
      <c r="I73">
        <v>3</v>
      </c>
      <c r="J73" s="1">
        <v>195</v>
      </c>
      <c r="K73" s="8">
        <v>0</v>
      </c>
      <c r="L73" s="1">
        <v>585</v>
      </c>
      <c r="M73" t="s">
        <v>950</v>
      </c>
      <c r="N73" t="s">
        <v>404</v>
      </c>
      <c r="O73" t="s">
        <v>951</v>
      </c>
      <c r="P73" t="s">
        <v>1148</v>
      </c>
      <c r="R73">
        <f t="shared" si="4"/>
        <v>2026</v>
      </c>
      <c r="S73">
        <f t="shared" si="5"/>
        <v>3</v>
      </c>
      <c r="T73">
        <f>IF(OR(O73="Cancelada",O73="Devolvida"),0,IF('03_DASHBOARD'!$B$5="Todos",1,IF(R73=VALUE('03_DASHBOARD'!$B$5),1,0))*IF('03_DASHBOARD'!$D$5="Todos",1,IF(S73=VLOOKUP('03_DASHBOARD'!$D$5,Listas_Dashboard!$A$2:$B$13,2,FALSE()),1,0))*IF('03_DASHBOARD'!$F$5="Todos",1,IF(N73='03_DASHBOARD'!$F$5,1,0))*IF('03_DASHBOARD'!$H$5="Todos",1,IF(H73='03_DASHBOARD'!$H$5,1,0))*IF('03_DASHBOARD'!$J$5="Todos",1,IF(M73='03_DASHBOARD'!$J$5,1,0)))</f>
        <v>1</v>
      </c>
      <c r="U73">
        <f>IF(T73=1,IF(COUNTIFS($C$2:C73,C73,$T$2:T73,1)=1,1,0),0)</f>
        <v>1</v>
      </c>
    </row>
    <row r="74" spans="1:21" ht="15" customHeight="1">
      <c r="A74" t="s">
        <v>1051</v>
      </c>
      <c r="B74" s="2">
        <v>46094</v>
      </c>
      <c r="C74" t="s">
        <v>661</v>
      </c>
      <c r="D74" t="s">
        <v>662</v>
      </c>
      <c r="E74" t="s">
        <v>401</v>
      </c>
      <c r="F74" t="s">
        <v>236</v>
      </c>
      <c r="G74" t="s">
        <v>237</v>
      </c>
      <c r="H74" t="s">
        <v>53</v>
      </c>
      <c r="I74">
        <v>2</v>
      </c>
      <c r="J74" s="1">
        <v>165</v>
      </c>
      <c r="K74" s="8">
        <v>0</v>
      </c>
      <c r="L74" s="1">
        <v>330</v>
      </c>
      <c r="M74" t="s">
        <v>954</v>
      </c>
      <c r="N74" t="s">
        <v>536</v>
      </c>
      <c r="O74" t="s">
        <v>951</v>
      </c>
      <c r="P74" t="s">
        <v>1148</v>
      </c>
      <c r="R74">
        <f t="shared" si="4"/>
        <v>2026</v>
      </c>
      <c r="S74">
        <f t="shared" si="5"/>
        <v>3</v>
      </c>
      <c r="T74">
        <f>IF(OR(O74="Cancelada",O74="Devolvida"),0,IF('03_DASHBOARD'!$B$5="Todos",1,IF(R74=VALUE('03_DASHBOARD'!$B$5),1,0))*IF('03_DASHBOARD'!$D$5="Todos",1,IF(S74=VLOOKUP('03_DASHBOARD'!$D$5,Listas_Dashboard!$A$2:$B$13,2,FALSE()),1,0))*IF('03_DASHBOARD'!$F$5="Todos",1,IF(N74='03_DASHBOARD'!$F$5,1,0))*IF('03_DASHBOARD'!$H$5="Todos",1,IF(H74='03_DASHBOARD'!$H$5,1,0))*IF('03_DASHBOARD'!$J$5="Todos",1,IF(M74='03_DASHBOARD'!$J$5,1,0)))</f>
        <v>1</v>
      </c>
      <c r="U74">
        <f>IF(T74=1,IF(COUNTIFS($C$2:C74,C74,$T$2:T74,1)=1,1,0),0)</f>
        <v>1</v>
      </c>
    </row>
    <row r="75" spans="1:21" ht="15" customHeight="1">
      <c r="A75" t="s">
        <v>1052</v>
      </c>
      <c r="B75" s="2">
        <v>46095</v>
      </c>
      <c r="C75" t="s">
        <v>664</v>
      </c>
      <c r="D75" t="s">
        <v>665</v>
      </c>
      <c r="E75" t="s">
        <v>459</v>
      </c>
      <c r="F75" t="s">
        <v>239</v>
      </c>
      <c r="G75" t="s">
        <v>240</v>
      </c>
      <c r="H75" t="s">
        <v>53</v>
      </c>
      <c r="I75">
        <v>2</v>
      </c>
      <c r="J75" s="1">
        <v>165</v>
      </c>
      <c r="K75" s="8">
        <v>0</v>
      </c>
      <c r="L75" s="1">
        <v>330</v>
      </c>
      <c r="M75" t="s">
        <v>959</v>
      </c>
      <c r="N75" t="s">
        <v>411</v>
      </c>
      <c r="O75" t="s">
        <v>951</v>
      </c>
      <c r="P75" t="s">
        <v>1148</v>
      </c>
      <c r="R75">
        <f t="shared" si="4"/>
        <v>2026</v>
      </c>
      <c r="S75">
        <f t="shared" si="5"/>
        <v>3</v>
      </c>
      <c r="T75">
        <f>IF(OR(O75="Cancelada",O75="Devolvida"),0,IF('03_DASHBOARD'!$B$5="Todos",1,IF(R75=VALUE('03_DASHBOARD'!$B$5),1,0))*IF('03_DASHBOARD'!$D$5="Todos",1,IF(S75=VLOOKUP('03_DASHBOARD'!$D$5,Listas_Dashboard!$A$2:$B$13,2,FALSE()),1,0))*IF('03_DASHBOARD'!$F$5="Todos",1,IF(N75='03_DASHBOARD'!$F$5,1,0))*IF('03_DASHBOARD'!$H$5="Todos",1,IF(H75='03_DASHBOARD'!$H$5,1,0))*IF('03_DASHBOARD'!$J$5="Todos",1,IF(M75='03_DASHBOARD'!$J$5,1,0)))</f>
        <v>1</v>
      </c>
      <c r="U75">
        <f>IF(T75=1,IF(COUNTIFS($C$2:C75,C75,$T$2:T75,1)=1,1,0),0)</f>
        <v>1</v>
      </c>
    </row>
    <row r="76" spans="1:21" ht="15" customHeight="1">
      <c r="A76" t="s">
        <v>1053</v>
      </c>
      <c r="B76" s="2">
        <v>46096</v>
      </c>
      <c r="C76" t="s">
        <v>668</v>
      </c>
      <c r="D76" t="s">
        <v>669</v>
      </c>
      <c r="E76" t="s">
        <v>407</v>
      </c>
      <c r="F76" t="s">
        <v>242</v>
      </c>
      <c r="G76" t="s">
        <v>243</v>
      </c>
      <c r="H76" t="s">
        <v>53</v>
      </c>
      <c r="I76">
        <v>1</v>
      </c>
      <c r="J76" s="1">
        <v>780</v>
      </c>
      <c r="K76" s="8">
        <v>20</v>
      </c>
      <c r="L76" s="1">
        <v>624</v>
      </c>
      <c r="M76" t="s">
        <v>1015</v>
      </c>
      <c r="N76" t="s">
        <v>404</v>
      </c>
      <c r="O76" t="s">
        <v>951</v>
      </c>
      <c r="P76" t="s">
        <v>1148</v>
      </c>
      <c r="R76">
        <f t="shared" si="4"/>
        <v>2026</v>
      </c>
      <c r="S76">
        <f t="shared" si="5"/>
        <v>3</v>
      </c>
      <c r="T76">
        <f>IF(OR(O76="Cancelada",O76="Devolvida"),0,IF('03_DASHBOARD'!$B$5="Todos",1,IF(R76=VALUE('03_DASHBOARD'!$B$5),1,0))*IF('03_DASHBOARD'!$D$5="Todos",1,IF(S76=VLOOKUP('03_DASHBOARD'!$D$5,Listas_Dashboard!$A$2:$B$13,2,FALSE()),1,0))*IF('03_DASHBOARD'!$F$5="Todos",1,IF(N76='03_DASHBOARD'!$F$5,1,0))*IF('03_DASHBOARD'!$H$5="Todos",1,IF(H76='03_DASHBOARD'!$H$5,1,0))*IF('03_DASHBOARD'!$J$5="Todos",1,IF(M76='03_DASHBOARD'!$J$5,1,0)))</f>
        <v>1</v>
      </c>
      <c r="U76">
        <f>IF(T76=1,IF(COUNTIFS($C$2:C76,C76,$T$2:T76,1)=1,1,0),0)</f>
        <v>1</v>
      </c>
    </row>
    <row r="77" spans="1:21" ht="15" customHeight="1">
      <c r="A77" t="s">
        <v>1054</v>
      </c>
      <c r="B77" s="2">
        <v>46097</v>
      </c>
      <c r="C77" t="s">
        <v>672</v>
      </c>
      <c r="D77" t="s">
        <v>673</v>
      </c>
      <c r="E77" t="s">
        <v>426</v>
      </c>
      <c r="F77" t="s">
        <v>245</v>
      </c>
      <c r="G77" t="s">
        <v>243</v>
      </c>
      <c r="H77" t="s">
        <v>53</v>
      </c>
      <c r="I77">
        <v>1</v>
      </c>
      <c r="J77" s="1">
        <v>780</v>
      </c>
      <c r="K77" s="8">
        <v>20</v>
      </c>
      <c r="L77" s="1">
        <v>624</v>
      </c>
      <c r="M77" t="s">
        <v>1015</v>
      </c>
      <c r="N77" t="s">
        <v>404</v>
      </c>
      <c r="O77" t="s">
        <v>951</v>
      </c>
      <c r="P77" t="s">
        <v>1148</v>
      </c>
      <c r="R77">
        <f t="shared" si="4"/>
        <v>2026</v>
      </c>
      <c r="S77">
        <f t="shared" si="5"/>
        <v>3</v>
      </c>
      <c r="T77">
        <f>IF(OR(O77="Cancelada",O77="Devolvida"),0,IF('03_DASHBOARD'!$B$5="Todos",1,IF(R77=VALUE('03_DASHBOARD'!$B$5),1,0))*IF('03_DASHBOARD'!$D$5="Todos",1,IF(S77=VLOOKUP('03_DASHBOARD'!$D$5,Listas_Dashboard!$A$2:$B$13,2,FALSE()),1,0))*IF('03_DASHBOARD'!$F$5="Todos",1,IF(N77='03_DASHBOARD'!$F$5,1,0))*IF('03_DASHBOARD'!$H$5="Todos",1,IF(H77='03_DASHBOARD'!$H$5,1,0))*IF('03_DASHBOARD'!$J$5="Todos",1,IF(M77='03_DASHBOARD'!$J$5,1,0)))</f>
        <v>1</v>
      </c>
      <c r="U77">
        <f>IF(T77=1,IF(COUNTIFS($C$2:C77,C77,$T$2:T77,1)=1,1,0),0)</f>
        <v>1</v>
      </c>
    </row>
    <row r="78" spans="1:21" ht="15" customHeight="1">
      <c r="A78" t="s">
        <v>1055</v>
      </c>
      <c r="B78" s="2">
        <v>46098</v>
      </c>
      <c r="C78" t="s">
        <v>675</v>
      </c>
      <c r="D78" t="s">
        <v>676</v>
      </c>
      <c r="E78" t="s">
        <v>401</v>
      </c>
      <c r="F78" t="s">
        <v>248</v>
      </c>
      <c r="G78" t="s">
        <v>249</v>
      </c>
      <c r="H78" t="s">
        <v>250</v>
      </c>
      <c r="I78">
        <v>5</v>
      </c>
      <c r="J78" s="1">
        <v>89</v>
      </c>
      <c r="K78" s="8">
        <v>0</v>
      </c>
      <c r="L78" s="1">
        <v>445</v>
      </c>
      <c r="M78" t="s">
        <v>1017</v>
      </c>
      <c r="N78" t="s">
        <v>536</v>
      </c>
      <c r="O78" t="s">
        <v>951</v>
      </c>
      <c r="P78" t="s">
        <v>1148</v>
      </c>
      <c r="R78">
        <f t="shared" si="4"/>
        <v>2026</v>
      </c>
      <c r="S78">
        <f t="shared" si="5"/>
        <v>3</v>
      </c>
      <c r="T78">
        <f>IF(OR(O78="Cancelada",O78="Devolvida"),0,IF('03_DASHBOARD'!$B$5="Todos",1,IF(R78=VALUE('03_DASHBOARD'!$B$5),1,0))*IF('03_DASHBOARD'!$D$5="Todos",1,IF(S78=VLOOKUP('03_DASHBOARD'!$D$5,Listas_Dashboard!$A$2:$B$13,2,FALSE()),1,0))*IF('03_DASHBOARD'!$F$5="Todos",1,IF(N78='03_DASHBOARD'!$F$5,1,0))*IF('03_DASHBOARD'!$H$5="Todos",1,IF(H78='03_DASHBOARD'!$H$5,1,0))*IF('03_DASHBOARD'!$J$5="Todos",1,IF(M78='03_DASHBOARD'!$J$5,1,0)))</f>
        <v>1</v>
      </c>
      <c r="U78">
        <f>IF(T78=1,IF(COUNTIFS($C$2:C78,C78,$T$2:T78,1)=1,1,0),0)</f>
        <v>1</v>
      </c>
    </row>
    <row r="79" spans="1:21" ht="15" customHeight="1">
      <c r="A79" t="s">
        <v>1056</v>
      </c>
      <c r="B79" s="2">
        <v>46099</v>
      </c>
      <c r="C79" t="s">
        <v>678</v>
      </c>
      <c r="D79" t="s">
        <v>676</v>
      </c>
      <c r="E79" t="s">
        <v>401</v>
      </c>
      <c r="F79" t="s">
        <v>253</v>
      </c>
      <c r="G79" t="s">
        <v>254</v>
      </c>
      <c r="H79" t="s">
        <v>250</v>
      </c>
      <c r="I79">
        <v>5</v>
      </c>
      <c r="J79" s="1">
        <v>89</v>
      </c>
      <c r="K79" s="8">
        <v>0</v>
      </c>
      <c r="L79" s="1">
        <v>445</v>
      </c>
      <c r="M79" t="s">
        <v>1017</v>
      </c>
      <c r="N79" t="s">
        <v>536</v>
      </c>
      <c r="O79" t="s">
        <v>951</v>
      </c>
      <c r="P79" t="s">
        <v>1148</v>
      </c>
      <c r="R79">
        <f t="shared" si="4"/>
        <v>2026</v>
      </c>
      <c r="S79">
        <f t="shared" si="5"/>
        <v>3</v>
      </c>
      <c r="T79">
        <f>IF(OR(O79="Cancelada",O79="Devolvida"),0,IF('03_DASHBOARD'!$B$5="Todos",1,IF(R79=VALUE('03_DASHBOARD'!$B$5),1,0))*IF('03_DASHBOARD'!$D$5="Todos",1,IF(S79=VLOOKUP('03_DASHBOARD'!$D$5,Listas_Dashboard!$A$2:$B$13,2,FALSE()),1,0))*IF('03_DASHBOARD'!$F$5="Todos",1,IF(N79='03_DASHBOARD'!$F$5,1,0))*IF('03_DASHBOARD'!$H$5="Todos",1,IF(H79='03_DASHBOARD'!$H$5,1,0))*IF('03_DASHBOARD'!$J$5="Todos",1,IF(M79='03_DASHBOARD'!$J$5,1,0)))</f>
        <v>1</v>
      </c>
      <c r="U79">
        <f>IF(T79=1,IF(COUNTIFS($C$2:C79,C79,$T$2:T79,1)=1,1,0),0)</f>
        <v>1</v>
      </c>
    </row>
    <row r="80" spans="1:21" ht="15" customHeight="1">
      <c r="A80" t="s">
        <v>1057</v>
      </c>
      <c r="B80" s="2">
        <v>46100</v>
      </c>
      <c r="C80" t="s">
        <v>680</v>
      </c>
      <c r="D80" t="s">
        <v>681</v>
      </c>
      <c r="E80" t="s">
        <v>414</v>
      </c>
      <c r="F80" t="s">
        <v>257</v>
      </c>
      <c r="G80" t="s">
        <v>258</v>
      </c>
      <c r="H80" t="s">
        <v>250</v>
      </c>
      <c r="I80">
        <v>2</v>
      </c>
      <c r="J80" s="1">
        <v>145</v>
      </c>
      <c r="K80" s="8">
        <v>0</v>
      </c>
      <c r="L80" s="1">
        <v>290</v>
      </c>
      <c r="M80" t="s">
        <v>954</v>
      </c>
      <c r="N80" t="s">
        <v>404</v>
      </c>
      <c r="O80" t="s">
        <v>991</v>
      </c>
      <c r="P80" t="s">
        <v>1150</v>
      </c>
      <c r="R80">
        <f t="shared" si="4"/>
        <v>2026</v>
      </c>
      <c r="S80">
        <f t="shared" si="5"/>
        <v>3</v>
      </c>
      <c r="T80">
        <f>IF(OR(O80="Cancelada",O80="Devolvida"),0,IF('03_DASHBOARD'!$B$5="Todos",1,IF(R80=VALUE('03_DASHBOARD'!$B$5),1,0))*IF('03_DASHBOARD'!$D$5="Todos",1,IF(S80=VLOOKUP('03_DASHBOARD'!$D$5,Listas_Dashboard!$A$2:$B$13,2,FALSE()),1,0))*IF('03_DASHBOARD'!$F$5="Todos",1,IF(N80='03_DASHBOARD'!$F$5,1,0))*IF('03_DASHBOARD'!$H$5="Todos",1,IF(H80='03_DASHBOARD'!$H$5,1,0))*IF('03_DASHBOARD'!$J$5="Todos",1,IF(M80='03_DASHBOARD'!$J$5,1,0)))</f>
        <v>1</v>
      </c>
      <c r="U80">
        <f>IF(T80=1,IF(COUNTIFS($C$2:C80,C80,$T$2:T80,1)=1,1,0),0)</f>
        <v>1</v>
      </c>
    </row>
    <row r="81" spans="1:21" ht="15" customHeight="1">
      <c r="A81" t="s">
        <v>1058</v>
      </c>
      <c r="B81" s="2">
        <v>46101</v>
      </c>
      <c r="C81" t="s">
        <v>683</v>
      </c>
      <c r="D81" t="s">
        <v>684</v>
      </c>
      <c r="E81" t="s">
        <v>431</v>
      </c>
      <c r="F81" t="s">
        <v>259</v>
      </c>
      <c r="G81" t="s">
        <v>260</v>
      </c>
      <c r="H81" t="s">
        <v>250</v>
      </c>
      <c r="I81">
        <v>2</v>
      </c>
      <c r="J81" s="1">
        <v>145</v>
      </c>
      <c r="K81" s="8">
        <v>0</v>
      </c>
      <c r="L81" s="1">
        <v>290</v>
      </c>
      <c r="M81" t="s">
        <v>954</v>
      </c>
      <c r="N81" t="s">
        <v>404</v>
      </c>
      <c r="O81" t="s">
        <v>951</v>
      </c>
      <c r="P81" t="s">
        <v>1148</v>
      </c>
      <c r="R81">
        <f t="shared" si="4"/>
        <v>2026</v>
      </c>
      <c r="S81">
        <f t="shared" si="5"/>
        <v>3</v>
      </c>
      <c r="T81">
        <f>IF(OR(O81="Cancelada",O81="Devolvida"),0,IF('03_DASHBOARD'!$B$5="Todos",1,IF(R81=VALUE('03_DASHBOARD'!$B$5),1,0))*IF('03_DASHBOARD'!$D$5="Todos",1,IF(S81=VLOOKUP('03_DASHBOARD'!$D$5,Listas_Dashboard!$A$2:$B$13,2,FALSE()),1,0))*IF('03_DASHBOARD'!$F$5="Todos",1,IF(N81='03_DASHBOARD'!$F$5,1,0))*IF('03_DASHBOARD'!$H$5="Todos",1,IF(H81='03_DASHBOARD'!$H$5,1,0))*IF('03_DASHBOARD'!$J$5="Todos",1,IF(M81='03_DASHBOARD'!$J$5,1,0)))</f>
        <v>1</v>
      </c>
      <c r="U81">
        <f>IF(T81=1,IF(COUNTIFS($C$2:C81,C81,$T$2:T81,1)=1,1,0),0)</f>
        <v>1</v>
      </c>
    </row>
    <row r="82" spans="1:21" ht="15" customHeight="1">
      <c r="A82" t="s">
        <v>1059</v>
      </c>
      <c r="B82" s="2">
        <v>46102</v>
      </c>
      <c r="C82" t="s">
        <v>686</v>
      </c>
      <c r="D82" t="s">
        <v>687</v>
      </c>
      <c r="E82" t="s">
        <v>551</v>
      </c>
      <c r="F82" t="s">
        <v>262</v>
      </c>
      <c r="G82" t="s">
        <v>263</v>
      </c>
      <c r="H82" t="s">
        <v>250</v>
      </c>
      <c r="I82">
        <v>1</v>
      </c>
      <c r="J82" s="1">
        <v>299</v>
      </c>
      <c r="K82" s="8">
        <v>0</v>
      </c>
      <c r="L82" s="1">
        <v>299</v>
      </c>
      <c r="M82" t="s">
        <v>950</v>
      </c>
      <c r="N82" t="s">
        <v>404</v>
      </c>
      <c r="O82" t="s">
        <v>951</v>
      </c>
      <c r="P82" t="s">
        <v>1148</v>
      </c>
      <c r="Q82" t="s">
        <v>1060</v>
      </c>
      <c r="R82">
        <f t="shared" si="4"/>
        <v>2026</v>
      </c>
      <c r="S82">
        <f t="shared" si="5"/>
        <v>3</v>
      </c>
      <c r="T82">
        <f>IF(OR(O82="Cancelada",O82="Devolvida"),0,IF('03_DASHBOARD'!$B$5="Todos",1,IF(R82=VALUE('03_DASHBOARD'!$B$5),1,0))*IF('03_DASHBOARD'!$D$5="Todos",1,IF(S82=VLOOKUP('03_DASHBOARD'!$D$5,Listas_Dashboard!$A$2:$B$13,2,FALSE()),1,0))*IF('03_DASHBOARD'!$F$5="Todos",1,IF(N82='03_DASHBOARD'!$F$5,1,0))*IF('03_DASHBOARD'!$H$5="Todos",1,IF(H82='03_DASHBOARD'!$H$5,1,0))*IF('03_DASHBOARD'!$J$5="Todos",1,IF(M82='03_DASHBOARD'!$J$5,1,0)))</f>
        <v>1</v>
      </c>
      <c r="U82">
        <f>IF(T82=1,IF(COUNTIFS($C$2:C82,C82,$T$2:T82,1)=1,1,0),0)</f>
        <v>1</v>
      </c>
    </row>
    <row r="83" spans="1:21" ht="15" customHeight="1">
      <c r="A83" t="s">
        <v>1061</v>
      </c>
      <c r="B83" s="2">
        <v>46103</v>
      </c>
      <c r="C83" t="s">
        <v>690</v>
      </c>
      <c r="D83" t="s">
        <v>691</v>
      </c>
      <c r="E83" t="s">
        <v>401</v>
      </c>
      <c r="F83" t="s">
        <v>265</v>
      </c>
      <c r="G83" t="s">
        <v>266</v>
      </c>
      <c r="H83" t="s">
        <v>250</v>
      </c>
      <c r="I83">
        <v>1</v>
      </c>
      <c r="J83" s="1">
        <v>299</v>
      </c>
      <c r="K83" s="8">
        <v>0</v>
      </c>
      <c r="L83" s="1">
        <v>299</v>
      </c>
      <c r="M83" t="s">
        <v>950</v>
      </c>
      <c r="N83" t="s">
        <v>404</v>
      </c>
      <c r="O83" t="s">
        <v>951</v>
      </c>
      <c r="P83" t="s">
        <v>1148</v>
      </c>
      <c r="Q83" t="s">
        <v>1062</v>
      </c>
      <c r="R83">
        <f t="shared" si="4"/>
        <v>2026</v>
      </c>
      <c r="S83">
        <f t="shared" si="5"/>
        <v>3</v>
      </c>
      <c r="T83">
        <f>IF(OR(O83="Cancelada",O83="Devolvida"),0,IF('03_DASHBOARD'!$B$5="Todos",1,IF(R83=VALUE('03_DASHBOARD'!$B$5),1,0))*IF('03_DASHBOARD'!$D$5="Todos",1,IF(S83=VLOOKUP('03_DASHBOARD'!$D$5,Listas_Dashboard!$A$2:$B$13,2,FALSE()),1,0))*IF('03_DASHBOARD'!$F$5="Todos",1,IF(N83='03_DASHBOARD'!$F$5,1,0))*IF('03_DASHBOARD'!$H$5="Todos",1,IF(H83='03_DASHBOARD'!$H$5,1,0))*IF('03_DASHBOARD'!$J$5="Todos",1,IF(M83='03_DASHBOARD'!$J$5,1,0)))</f>
        <v>1</v>
      </c>
      <c r="U83">
        <f>IF(T83=1,IF(COUNTIFS($C$2:C83,C83,$T$2:T83,1)=1,1,0),0)</f>
        <v>1</v>
      </c>
    </row>
    <row r="84" spans="1:21" ht="15" customHeight="1">
      <c r="A84" t="s">
        <v>1063</v>
      </c>
      <c r="B84" s="2">
        <v>46104</v>
      </c>
      <c r="C84" t="s">
        <v>693</v>
      </c>
      <c r="D84" t="s">
        <v>694</v>
      </c>
      <c r="E84" t="s">
        <v>420</v>
      </c>
      <c r="F84" t="s">
        <v>269</v>
      </c>
      <c r="G84" t="s">
        <v>270</v>
      </c>
      <c r="H84" t="s">
        <v>135</v>
      </c>
      <c r="I84">
        <v>999</v>
      </c>
      <c r="J84" s="1">
        <v>110</v>
      </c>
      <c r="K84" s="8">
        <v>0</v>
      </c>
      <c r="L84" s="1">
        <v>109890</v>
      </c>
      <c r="M84" t="s">
        <v>954</v>
      </c>
      <c r="N84" t="s">
        <v>536</v>
      </c>
      <c r="O84" t="s">
        <v>951</v>
      </c>
      <c r="P84" t="s">
        <v>1148</v>
      </c>
      <c r="Q84" t="s">
        <v>1064</v>
      </c>
      <c r="R84">
        <f t="shared" si="4"/>
        <v>2026</v>
      </c>
      <c r="S84">
        <f t="shared" si="5"/>
        <v>3</v>
      </c>
      <c r="T84">
        <v>0</v>
      </c>
      <c r="U84">
        <f>IF(T84=1,IF(COUNTIFS($C$2:C84,C84,$T$2:T84,1)=1,1,0),0)</f>
        <v>0</v>
      </c>
    </row>
    <row r="85" spans="1:21" ht="15" customHeight="1">
      <c r="A85" t="s">
        <v>1065</v>
      </c>
      <c r="B85" s="2">
        <v>46105</v>
      </c>
      <c r="C85" t="s">
        <v>697</v>
      </c>
      <c r="D85" t="s">
        <v>698</v>
      </c>
      <c r="E85" t="s">
        <v>407</v>
      </c>
      <c r="F85" t="s">
        <v>273</v>
      </c>
      <c r="G85" t="s">
        <v>274</v>
      </c>
      <c r="H85" t="s">
        <v>135</v>
      </c>
      <c r="I85">
        <v>1</v>
      </c>
      <c r="J85" s="1">
        <v>110</v>
      </c>
      <c r="K85" s="8">
        <v>0</v>
      </c>
      <c r="L85" s="1">
        <v>110</v>
      </c>
      <c r="M85" t="s">
        <v>959</v>
      </c>
      <c r="N85" t="s">
        <v>404</v>
      </c>
      <c r="O85" t="s">
        <v>951</v>
      </c>
      <c r="P85" t="s">
        <v>1148</v>
      </c>
      <c r="Q85" t="s">
        <v>1066</v>
      </c>
      <c r="R85">
        <f t="shared" si="4"/>
        <v>2026</v>
      </c>
      <c r="S85">
        <f t="shared" si="5"/>
        <v>3</v>
      </c>
      <c r="T85">
        <f>IF(OR(O85="Cancelada",O85="Devolvida"),0,IF('03_DASHBOARD'!$B$5="Todos",1,IF(R85=VALUE('03_DASHBOARD'!$B$5),1,0))*IF('03_DASHBOARD'!$D$5="Todos",1,IF(S85=VLOOKUP('03_DASHBOARD'!$D$5,Listas_Dashboard!$A$2:$B$13,2,FALSE()),1,0))*IF('03_DASHBOARD'!$F$5="Todos",1,IF(N85='03_DASHBOARD'!$F$5,1,0))*IF('03_DASHBOARD'!$H$5="Todos",1,IF(H85='03_DASHBOARD'!$H$5,1,0))*IF('03_DASHBOARD'!$J$5="Todos",1,IF(M85='03_DASHBOARD'!$J$5,1,0)))</f>
        <v>1</v>
      </c>
      <c r="U85">
        <f>IF(T85=1,IF(COUNTIFS($C$2:C85,C85,$T$2:T85,1)=1,1,0),0)</f>
        <v>1</v>
      </c>
    </row>
    <row r="86" spans="1:21" ht="15" customHeight="1">
      <c r="A86" t="s">
        <v>1067</v>
      </c>
      <c r="B86" s="2">
        <v>46106</v>
      </c>
      <c r="C86" t="s">
        <v>701</v>
      </c>
      <c r="D86" t="s">
        <v>702</v>
      </c>
      <c r="E86" t="s">
        <v>414</v>
      </c>
      <c r="F86" t="s">
        <v>277</v>
      </c>
      <c r="G86" t="s">
        <v>278</v>
      </c>
      <c r="H86" t="s">
        <v>135</v>
      </c>
      <c r="I86">
        <v>2</v>
      </c>
      <c r="J86" s="1">
        <v>45</v>
      </c>
      <c r="K86" s="8">
        <v>0</v>
      </c>
      <c r="L86" s="1">
        <v>90</v>
      </c>
      <c r="M86" t="s">
        <v>1017</v>
      </c>
      <c r="N86" t="s">
        <v>411</v>
      </c>
      <c r="O86" t="s">
        <v>1068</v>
      </c>
      <c r="P86" t="s">
        <v>1153</v>
      </c>
      <c r="R86">
        <f t="shared" si="4"/>
        <v>2026</v>
      </c>
      <c r="S86">
        <f t="shared" si="5"/>
        <v>3</v>
      </c>
      <c r="T86">
        <f>IF(OR(O86="Cancelada",O86="Devolvida"),0,IF('03_DASHBOARD'!$B$5="Todos",1,IF(R86=VALUE('03_DASHBOARD'!$B$5),1,0))*IF('03_DASHBOARD'!$D$5="Todos",1,IF(S86=VLOOKUP('03_DASHBOARD'!$D$5,Listas_Dashboard!$A$2:$B$13,2,FALSE()),1,0))*IF('03_DASHBOARD'!$F$5="Todos",1,IF(N86='03_DASHBOARD'!$F$5,1,0))*IF('03_DASHBOARD'!$H$5="Todos",1,IF(H86='03_DASHBOARD'!$H$5,1,0))*IF('03_DASHBOARD'!$J$5="Todos",1,IF(M86='03_DASHBOARD'!$J$5,1,0)))</f>
        <v>0</v>
      </c>
      <c r="U86">
        <f>IF(T86=1,IF(COUNTIFS($C$2:C86,C86,$T$2:T86,1)=1,1,0),0)</f>
        <v>0</v>
      </c>
    </row>
    <row r="87" spans="1:21" ht="15" customHeight="1">
      <c r="A87" t="s">
        <v>1069</v>
      </c>
      <c r="B87" s="2">
        <v>46107</v>
      </c>
      <c r="C87" t="s">
        <v>705</v>
      </c>
      <c r="D87" t="s">
        <v>706</v>
      </c>
      <c r="E87" t="s">
        <v>401</v>
      </c>
      <c r="F87" t="s">
        <v>280</v>
      </c>
      <c r="G87" t="s">
        <v>281</v>
      </c>
      <c r="H87" t="s">
        <v>135</v>
      </c>
      <c r="I87">
        <v>2</v>
      </c>
      <c r="J87" s="1">
        <v>45</v>
      </c>
      <c r="K87" s="8">
        <v>0</v>
      </c>
      <c r="L87" s="1">
        <v>90</v>
      </c>
      <c r="M87" t="s">
        <v>1015</v>
      </c>
      <c r="N87" t="s">
        <v>404</v>
      </c>
      <c r="O87" t="s">
        <v>951</v>
      </c>
      <c r="P87" t="s">
        <v>1148</v>
      </c>
      <c r="R87">
        <f t="shared" si="4"/>
        <v>2026</v>
      </c>
      <c r="S87">
        <f t="shared" si="5"/>
        <v>3</v>
      </c>
      <c r="T87">
        <f>IF(OR(O87="Cancelada",O87="Devolvida"),0,IF('03_DASHBOARD'!$B$5="Todos",1,IF(R87=VALUE('03_DASHBOARD'!$B$5),1,0))*IF('03_DASHBOARD'!$D$5="Todos",1,IF(S87=VLOOKUP('03_DASHBOARD'!$D$5,Listas_Dashboard!$A$2:$B$13,2,FALSE()),1,0))*IF('03_DASHBOARD'!$F$5="Todos",1,IF(N87='03_DASHBOARD'!$F$5,1,0))*IF('03_DASHBOARD'!$H$5="Todos",1,IF(H87='03_DASHBOARD'!$H$5,1,0))*IF('03_DASHBOARD'!$J$5="Todos",1,IF(M87='03_DASHBOARD'!$J$5,1,0)))</f>
        <v>1</v>
      </c>
      <c r="U87">
        <f>IF(T87=1,IF(COUNTIFS($C$2:C87,C87,$T$2:T87,1)=1,1,0),0)</f>
        <v>1</v>
      </c>
    </row>
    <row r="88" spans="1:21" ht="15" customHeight="1">
      <c r="A88" t="s">
        <v>1070</v>
      </c>
      <c r="B88" s="2">
        <v>46108</v>
      </c>
      <c r="C88" t="s">
        <v>709</v>
      </c>
      <c r="D88" t="s">
        <v>710</v>
      </c>
      <c r="E88" t="s">
        <v>470</v>
      </c>
      <c r="F88" t="s">
        <v>283</v>
      </c>
      <c r="G88" t="s">
        <v>284</v>
      </c>
      <c r="H88" t="s">
        <v>176</v>
      </c>
      <c r="I88">
        <v>1</v>
      </c>
      <c r="J88" s="1">
        <v>189</v>
      </c>
      <c r="K88" s="8">
        <v>0</v>
      </c>
      <c r="L88" s="1">
        <v>189</v>
      </c>
      <c r="M88" t="s">
        <v>954</v>
      </c>
      <c r="N88" t="s">
        <v>404</v>
      </c>
      <c r="O88" t="s">
        <v>951</v>
      </c>
      <c r="P88" t="s">
        <v>1148</v>
      </c>
      <c r="R88">
        <f t="shared" si="4"/>
        <v>2026</v>
      </c>
      <c r="S88">
        <f t="shared" si="5"/>
        <v>3</v>
      </c>
      <c r="T88">
        <f>IF(OR(O88="Cancelada",O88="Devolvida"),0,IF('03_DASHBOARD'!$B$5="Todos",1,IF(R88=VALUE('03_DASHBOARD'!$B$5),1,0))*IF('03_DASHBOARD'!$D$5="Todos",1,IF(S88=VLOOKUP('03_DASHBOARD'!$D$5,Listas_Dashboard!$A$2:$B$13,2,FALSE()),1,0))*IF('03_DASHBOARD'!$F$5="Todos",1,IF(N88='03_DASHBOARD'!$F$5,1,0))*IF('03_DASHBOARD'!$H$5="Todos",1,IF(H88='03_DASHBOARD'!$H$5,1,0))*IF('03_DASHBOARD'!$J$5="Todos",1,IF(M88='03_DASHBOARD'!$J$5,1,0)))</f>
        <v>1</v>
      </c>
      <c r="U88">
        <f>IF(T88=1,IF(COUNTIFS($C$2:C88,C88,$T$2:T88,1)=1,1,0),0)</f>
        <v>1</v>
      </c>
    </row>
    <row r="89" spans="1:21" ht="15" customHeight="1">
      <c r="A89" t="s">
        <v>1071</v>
      </c>
      <c r="B89" s="2">
        <v>46109</v>
      </c>
      <c r="C89" t="s">
        <v>714</v>
      </c>
      <c r="D89" t="s">
        <v>715</v>
      </c>
      <c r="E89" t="s">
        <v>407</v>
      </c>
      <c r="F89" t="s">
        <v>286</v>
      </c>
      <c r="G89" t="s">
        <v>287</v>
      </c>
      <c r="H89" t="s">
        <v>176</v>
      </c>
      <c r="I89">
        <v>1</v>
      </c>
      <c r="J89" s="1">
        <v>189</v>
      </c>
      <c r="K89" s="8">
        <v>0</v>
      </c>
      <c r="L89" s="1">
        <v>189</v>
      </c>
      <c r="M89" t="s">
        <v>950</v>
      </c>
      <c r="N89" t="s">
        <v>536</v>
      </c>
      <c r="O89" t="s">
        <v>951</v>
      </c>
      <c r="P89" t="s">
        <v>1148</v>
      </c>
      <c r="R89">
        <f t="shared" si="4"/>
        <v>2026</v>
      </c>
      <c r="S89">
        <f t="shared" si="5"/>
        <v>3</v>
      </c>
      <c r="T89">
        <f>IF(OR(O89="Cancelada",O89="Devolvida"),0,IF('03_DASHBOARD'!$B$5="Todos",1,IF(R89=VALUE('03_DASHBOARD'!$B$5),1,0))*IF('03_DASHBOARD'!$D$5="Todos",1,IF(S89=VLOOKUP('03_DASHBOARD'!$D$5,Listas_Dashboard!$A$2:$B$13,2,FALSE()),1,0))*IF('03_DASHBOARD'!$F$5="Todos",1,IF(N89='03_DASHBOARD'!$F$5,1,0))*IF('03_DASHBOARD'!$H$5="Todos",1,IF(H89='03_DASHBOARD'!$H$5,1,0))*IF('03_DASHBOARD'!$J$5="Todos",1,IF(M89='03_DASHBOARD'!$J$5,1,0)))</f>
        <v>1</v>
      </c>
      <c r="U89">
        <f>IF(T89=1,IF(COUNTIFS($C$2:C89,C89,$T$2:T89,1)=1,1,0),0)</f>
        <v>1</v>
      </c>
    </row>
    <row r="90" spans="1:21" ht="15" customHeight="1">
      <c r="A90" t="s">
        <v>1072</v>
      </c>
      <c r="B90" s="2">
        <v>46110</v>
      </c>
      <c r="C90" t="s">
        <v>717</v>
      </c>
      <c r="D90" t="s">
        <v>718</v>
      </c>
      <c r="E90" t="s">
        <v>479</v>
      </c>
      <c r="F90" t="s">
        <v>289</v>
      </c>
      <c r="G90" t="s">
        <v>290</v>
      </c>
      <c r="H90" t="s">
        <v>176</v>
      </c>
      <c r="I90">
        <v>2</v>
      </c>
      <c r="J90" s="1">
        <v>289</v>
      </c>
      <c r="K90" s="8">
        <v>15</v>
      </c>
      <c r="L90" s="1">
        <v>491.3</v>
      </c>
      <c r="M90" t="s">
        <v>959</v>
      </c>
      <c r="N90" t="s">
        <v>404</v>
      </c>
      <c r="O90" t="s">
        <v>951</v>
      </c>
      <c r="P90" t="s">
        <v>1148</v>
      </c>
      <c r="R90">
        <f t="shared" si="4"/>
        <v>2026</v>
      </c>
      <c r="S90">
        <f t="shared" si="5"/>
        <v>3</v>
      </c>
      <c r="T90">
        <f>IF(OR(O90="Cancelada",O90="Devolvida"),0,IF('03_DASHBOARD'!$B$5="Todos",1,IF(R90=VALUE('03_DASHBOARD'!$B$5),1,0))*IF('03_DASHBOARD'!$D$5="Todos",1,IF(S90=VLOOKUP('03_DASHBOARD'!$D$5,Listas_Dashboard!$A$2:$B$13,2,FALSE()),1,0))*IF('03_DASHBOARD'!$F$5="Todos",1,IF(N90='03_DASHBOARD'!$F$5,1,0))*IF('03_DASHBOARD'!$H$5="Todos",1,IF(H90='03_DASHBOARD'!$H$5,1,0))*IF('03_DASHBOARD'!$J$5="Todos",1,IF(M90='03_DASHBOARD'!$J$5,1,0)))</f>
        <v>1</v>
      </c>
      <c r="U90">
        <f>IF(T90=1,IF(COUNTIFS($C$2:C90,C90,$T$2:T90,1)=1,1,0),0)</f>
        <v>1</v>
      </c>
    </row>
    <row r="91" spans="1:21" ht="15" customHeight="1">
      <c r="A91" t="s">
        <v>1073</v>
      </c>
      <c r="B91" s="2">
        <v>46111</v>
      </c>
      <c r="C91" t="s">
        <v>721</v>
      </c>
      <c r="D91" t="s">
        <v>400</v>
      </c>
      <c r="E91" t="s">
        <v>401</v>
      </c>
      <c r="F91" t="s">
        <v>293</v>
      </c>
      <c r="G91" t="s">
        <v>294</v>
      </c>
      <c r="H91" t="s">
        <v>176</v>
      </c>
      <c r="I91">
        <v>2</v>
      </c>
      <c r="J91" s="1">
        <v>289</v>
      </c>
      <c r="K91" s="8">
        <v>15</v>
      </c>
      <c r="L91" s="1">
        <v>491.3</v>
      </c>
      <c r="M91" t="s">
        <v>959</v>
      </c>
      <c r="N91" t="s">
        <v>404</v>
      </c>
      <c r="O91" t="s">
        <v>951</v>
      </c>
      <c r="P91" t="s">
        <v>1148</v>
      </c>
      <c r="R91">
        <f t="shared" si="4"/>
        <v>2026</v>
      </c>
      <c r="S91">
        <f t="shared" si="5"/>
        <v>3</v>
      </c>
      <c r="T91">
        <f>IF(OR(O91="Cancelada",O91="Devolvida"),0,IF('03_DASHBOARD'!$B$5="Todos",1,IF(R91=VALUE('03_DASHBOARD'!$B$5),1,0))*IF('03_DASHBOARD'!$D$5="Todos",1,IF(S91=VLOOKUP('03_DASHBOARD'!$D$5,Listas_Dashboard!$A$2:$B$13,2,FALSE()),1,0))*IF('03_DASHBOARD'!$F$5="Todos",1,IF(N91='03_DASHBOARD'!$F$5,1,0))*IF('03_DASHBOARD'!$H$5="Todos",1,IF(H91='03_DASHBOARD'!$H$5,1,0))*IF('03_DASHBOARD'!$J$5="Todos",1,IF(M91='03_DASHBOARD'!$J$5,1,0)))</f>
        <v>1</v>
      </c>
      <c r="U91">
        <f>IF(T91=1,IF(COUNTIFS($C$2:C91,C91,$T$2:T91,1)=1,1,0),0)</f>
        <v>1</v>
      </c>
    </row>
    <row r="92" spans="1:21" ht="15" customHeight="1">
      <c r="A92" t="s">
        <v>1074</v>
      </c>
      <c r="B92" s="2">
        <v>46112</v>
      </c>
      <c r="C92" t="s">
        <v>722</v>
      </c>
      <c r="D92" t="s">
        <v>723</v>
      </c>
      <c r="E92" t="s">
        <v>426</v>
      </c>
      <c r="F92" t="s">
        <v>297</v>
      </c>
      <c r="G92" t="s">
        <v>298</v>
      </c>
      <c r="H92" t="s">
        <v>13</v>
      </c>
      <c r="I92">
        <v>1</v>
      </c>
      <c r="J92" s="1">
        <v>499</v>
      </c>
      <c r="K92" s="8">
        <v>0</v>
      </c>
      <c r="L92" s="1">
        <v>499</v>
      </c>
      <c r="M92" t="s">
        <v>954</v>
      </c>
      <c r="N92" t="s">
        <v>1026</v>
      </c>
      <c r="O92" t="s">
        <v>951</v>
      </c>
      <c r="P92" t="s">
        <v>1148</v>
      </c>
      <c r="R92">
        <f t="shared" si="4"/>
        <v>2026</v>
      </c>
      <c r="S92">
        <f t="shared" si="5"/>
        <v>3</v>
      </c>
      <c r="T92">
        <f>IF(OR(O92="Cancelada",O92="Devolvida"),0,IF('03_DASHBOARD'!$B$5="Todos",1,IF(R92=VALUE('03_DASHBOARD'!$B$5),1,0))*IF('03_DASHBOARD'!$D$5="Todos",1,IF(S92=VLOOKUP('03_DASHBOARD'!$D$5,Listas_Dashboard!$A$2:$B$13,2,FALSE()),1,0))*IF('03_DASHBOARD'!$F$5="Todos",1,IF(N92='03_DASHBOARD'!$F$5,1,0))*IF('03_DASHBOARD'!$H$5="Todos",1,IF(H92='03_DASHBOARD'!$H$5,1,0))*IF('03_DASHBOARD'!$J$5="Todos",1,IF(M92='03_DASHBOARD'!$J$5,1,0)))</f>
        <v>1</v>
      </c>
      <c r="U92">
        <f>IF(T92=1,IF(COUNTIFS($C$2:C92,C92,$T$2:T92,1)=1,1,0),0)</f>
        <v>1</v>
      </c>
    </row>
    <row r="93" spans="1:21" ht="15" customHeight="1">
      <c r="A93" t="s">
        <v>1075</v>
      </c>
      <c r="B93" s="2">
        <v>46113</v>
      </c>
      <c r="C93" t="s">
        <v>725</v>
      </c>
      <c r="D93" t="s">
        <v>726</v>
      </c>
      <c r="E93" t="s">
        <v>407</v>
      </c>
      <c r="F93" t="s">
        <v>300</v>
      </c>
      <c r="G93" t="s">
        <v>301</v>
      </c>
      <c r="H93" t="s">
        <v>13</v>
      </c>
      <c r="I93">
        <v>1</v>
      </c>
      <c r="J93" s="1">
        <v>499</v>
      </c>
      <c r="K93" s="8">
        <v>0</v>
      </c>
      <c r="L93" s="1">
        <v>499</v>
      </c>
      <c r="M93" t="s">
        <v>950</v>
      </c>
      <c r="N93" t="s">
        <v>404</v>
      </c>
      <c r="O93" t="s">
        <v>951</v>
      </c>
      <c r="P93" t="s">
        <v>1148</v>
      </c>
      <c r="R93">
        <f t="shared" si="4"/>
        <v>2026</v>
      </c>
      <c r="S93">
        <f t="shared" si="5"/>
        <v>4</v>
      </c>
      <c r="T93">
        <f>IF(OR(O93="Cancelada",O93="Devolvida"),0,IF('03_DASHBOARD'!$B$5="Todos",1,IF(R93=VALUE('03_DASHBOARD'!$B$5),1,0))*IF('03_DASHBOARD'!$D$5="Todos",1,IF(S93=VLOOKUP('03_DASHBOARD'!$D$5,Listas_Dashboard!$A$2:$B$13,2,FALSE()),1,0))*IF('03_DASHBOARD'!$F$5="Todos",1,IF(N93='03_DASHBOARD'!$F$5,1,0))*IF('03_DASHBOARD'!$H$5="Todos",1,IF(H93='03_DASHBOARD'!$H$5,1,0))*IF('03_DASHBOARD'!$J$5="Todos",1,IF(M93='03_DASHBOARD'!$J$5,1,0)))</f>
        <v>1</v>
      </c>
      <c r="U93">
        <f>IF(T93=1,IF(COUNTIFS($C$2:C93,C93,$T$2:T93,1)=1,1,0),0)</f>
        <v>1</v>
      </c>
    </row>
    <row r="94" spans="1:21" ht="15" customHeight="1">
      <c r="A94" t="s">
        <v>1076</v>
      </c>
      <c r="B94" s="2">
        <v>46114</v>
      </c>
      <c r="C94" t="s">
        <v>728</v>
      </c>
      <c r="D94" t="s">
        <v>729</v>
      </c>
      <c r="E94" t="s">
        <v>420</v>
      </c>
      <c r="F94" t="s">
        <v>304</v>
      </c>
      <c r="G94" t="s">
        <v>305</v>
      </c>
      <c r="H94" t="s">
        <v>13</v>
      </c>
      <c r="I94">
        <v>1</v>
      </c>
      <c r="J94" s="1">
        <v>499</v>
      </c>
      <c r="K94" s="8">
        <v>0</v>
      </c>
      <c r="L94" s="1">
        <v>499</v>
      </c>
      <c r="M94" t="s">
        <v>950</v>
      </c>
      <c r="N94" t="s">
        <v>404</v>
      </c>
      <c r="O94" t="s">
        <v>951</v>
      </c>
      <c r="P94" t="s">
        <v>1148</v>
      </c>
      <c r="R94">
        <f t="shared" si="4"/>
        <v>2026</v>
      </c>
      <c r="S94">
        <f t="shared" si="5"/>
        <v>4</v>
      </c>
      <c r="T94">
        <f>IF(OR(O94="Cancelada",O94="Devolvida"),0,IF('03_DASHBOARD'!$B$5="Todos",1,IF(R94=VALUE('03_DASHBOARD'!$B$5),1,0))*IF('03_DASHBOARD'!$D$5="Todos",1,IF(S94=VLOOKUP('03_DASHBOARD'!$D$5,Listas_Dashboard!$A$2:$B$13,2,FALSE()),1,0))*IF('03_DASHBOARD'!$F$5="Todos",1,IF(N94='03_DASHBOARD'!$F$5,1,0))*IF('03_DASHBOARD'!$H$5="Todos",1,IF(H94='03_DASHBOARD'!$H$5,1,0))*IF('03_DASHBOARD'!$J$5="Todos",1,IF(M94='03_DASHBOARD'!$J$5,1,0)))</f>
        <v>1</v>
      </c>
      <c r="U94">
        <f>IF(T94=1,IF(COUNTIFS($C$2:C94,C94,$T$2:T94,1)=1,1,0),0)</f>
        <v>1</v>
      </c>
    </row>
    <row r="95" spans="1:21" ht="15" customHeight="1">
      <c r="A95" t="s">
        <v>1077</v>
      </c>
      <c r="B95" s="2">
        <v>46115</v>
      </c>
      <c r="C95" t="s">
        <v>731</v>
      </c>
      <c r="D95" t="s">
        <v>732</v>
      </c>
      <c r="E95" t="s">
        <v>401</v>
      </c>
      <c r="F95" t="s">
        <v>306</v>
      </c>
      <c r="G95" t="s">
        <v>307</v>
      </c>
      <c r="H95" t="s">
        <v>13</v>
      </c>
      <c r="I95">
        <v>2</v>
      </c>
      <c r="J95" s="1">
        <v>549</v>
      </c>
      <c r="K95" s="8">
        <v>5</v>
      </c>
      <c r="L95" s="1">
        <v>1043.0999999999999</v>
      </c>
      <c r="M95" t="s">
        <v>1017</v>
      </c>
      <c r="N95" t="s">
        <v>536</v>
      </c>
      <c r="O95" t="s">
        <v>951</v>
      </c>
      <c r="P95" t="s">
        <v>1148</v>
      </c>
      <c r="R95">
        <f t="shared" si="4"/>
        <v>2026</v>
      </c>
      <c r="S95">
        <f t="shared" si="5"/>
        <v>4</v>
      </c>
      <c r="T95">
        <f>IF(OR(O95="Cancelada",O95="Devolvida"),0,IF('03_DASHBOARD'!$B$5="Todos",1,IF(R95=VALUE('03_DASHBOARD'!$B$5),1,0))*IF('03_DASHBOARD'!$D$5="Todos",1,IF(S95=VLOOKUP('03_DASHBOARD'!$D$5,Listas_Dashboard!$A$2:$B$13,2,FALSE()),1,0))*IF('03_DASHBOARD'!$F$5="Todos",1,IF(N95='03_DASHBOARD'!$F$5,1,0))*IF('03_DASHBOARD'!$H$5="Todos",1,IF(H95='03_DASHBOARD'!$H$5,1,0))*IF('03_DASHBOARD'!$J$5="Todos",1,IF(M95='03_DASHBOARD'!$J$5,1,0)))</f>
        <v>1</v>
      </c>
      <c r="U95">
        <f>IF(T95=1,IF(COUNTIFS($C$2:C95,C95,$T$2:T95,1)=1,1,0),0)</f>
        <v>1</v>
      </c>
    </row>
    <row r="96" spans="1:21" ht="15" customHeight="1">
      <c r="A96" t="s">
        <v>1078</v>
      </c>
      <c r="B96" s="2">
        <v>46116</v>
      </c>
      <c r="C96" t="s">
        <v>735</v>
      </c>
      <c r="D96" t="s">
        <v>736</v>
      </c>
      <c r="E96" t="s">
        <v>431</v>
      </c>
      <c r="F96" t="s">
        <v>308</v>
      </c>
      <c r="G96" t="s">
        <v>309</v>
      </c>
      <c r="H96" t="s">
        <v>13</v>
      </c>
      <c r="I96">
        <v>2</v>
      </c>
      <c r="J96" s="1">
        <v>549</v>
      </c>
      <c r="K96" s="8">
        <v>5</v>
      </c>
      <c r="L96" s="1">
        <v>1043.0999999999999</v>
      </c>
      <c r="M96" t="s">
        <v>1017</v>
      </c>
      <c r="N96" t="s">
        <v>536</v>
      </c>
      <c r="O96" t="s">
        <v>951</v>
      </c>
      <c r="P96" t="s">
        <v>1148</v>
      </c>
      <c r="R96">
        <f t="shared" si="4"/>
        <v>2026</v>
      </c>
      <c r="S96">
        <f t="shared" si="5"/>
        <v>4</v>
      </c>
      <c r="T96">
        <f>IF(OR(O96="Cancelada",O96="Devolvida"),0,IF('03_DASHBOARD'!$B$5="Todos",1,IF(R96=VALUE('03_DASHBOARD'!$B$5),1,0))*IF('03_DASHBOARD'!$D$5="Todos",1,IF(S96=VLOOKUP('03_DASHBOARD'!$D$5,Listas_Dashboard!$A$2:$B$13,2,FALSE()),1,0))*IF('03_DASHBOARD'!$F$5="Todos",1,IF(N96='03_DASHBOARD'!$F$5,1,0))*IF('03_DASHBOARD'!$H$5="Todos",1,IF(H96='03_DASHBOARD'!$H$5,1,0))*IF('03_DASHBOARD'!$J$5="Todos",1,IF(M96='03_DASHBOARD'!$J$5,1,0)))</f>
        <v>1</v>
      </c>
      <c r="U96">
        <f>IF(T96=1,IF(COUNTIFS($C$2:C96,C96,$T$2:T96,1)=1,1,0),0)</f>
        <v>1</v>
      </c>
    </row>
    <row r="97" spans="1:21" ht="15" customHeight="1">
      <c r="A97" t="s">
        <v>1079</v>
      </c>
      <c r="B97" s="2">
        <v>46117</v>
      </c>
      <c r="C97" t="s">
        <v>739</v>
      </c>
      <c r="D97" t="s">
        <v>740</v>
      </c>
      <c r="E97" t="s">
        <v>414</v>
      </c>
      <c r="F97" t="s">
        <v>311</v>
      </c>
      <c r="G97" t="s">
        <v>307</v>
      </c>
      <c r="H97" t="s">
        <v>13</v>
      </c>
      <c r="I97">
        <v>1</v>
      </c>
      <c r="J97" s="1">
        <v>549</v>
      </c>
      <c r="K97" s="8">
        <v>0</v>
      </c>
      <c r="L97" s="1">
        <v>549</v>
      </c>
      <c r="M97" t="s">
        <v>954</v>
      </c>
      <c r="N97" t="s">
        <v>404</v>
      </c>
      <c r="O97" t="s">
        <v>951</v>
      </c>
      <c r="P97" t="s">
        <v>1148</v>
      </c>
      <c r="Q97" t="s">
        <v>1080</v>
      </c>
      <c r="R97">
        <f t="shared" si="4"/>
        <v>2026</v>
      </c>
      <c r="S97">
        <f t="shared" si="5"/>
        <v>4</v>
      </c>
      <c r="T97">
        <f>IF(OR(O97="Cancelada",O97="Devolvida"),0,IF('03_DASHBOARD'!$B$5="Todos",1,IF(R97=VALUE('03_DASHBOARD'!$B$5),1,0))*IF('03_DASHBOARD'!$D$5="Todos",1,IF(S97=VLOOKUP('03_DASHBOARD'!$D$5,Listas_Dashboard!$A$2:$B$13,2,FALSE()),1,0))*IF('03_DASHBOARD'!$F$5="Todos",1,IF(N97='03_DASHBOARD'!$F$5,1,0))*IF('03_DASHBOARD'!$H$5="Todos",1,IF(H97='03_DASHBOARD'!$H$5,1,0))*IF('03_DASHBOARD'!$J$5="Todos",1,IF(M97='03_DASHBOARD'!$J$5,1,0)))</f>
        <v>1</v>
      </c>
      <c r="U97">
        <f>IF(T97=1,IF(COUNTIFS($C$2:C97,C97,$T$2:T97,1)=1,1,0),0)</f>
        <v>1</v>
      </c>
    </row>
    <row r="98" spans="1:21" ht="15" customHeight="1">
      <c r="A98" t="s">
        <v>1081</v>
      </c>
      <c r="B98" s="2">
        <v>46118</v>
      </c>
      <c r="C98" t="s">
        <v>742</v>
      </c>
      <c r="D98" t="s">
        <v>743</v>
      </c>
      <c r="E98" t="s">
        <v>407</v>
      </c>
      <c r="F98" t="s">
        <v>312</v>
      </c>
      <c r="G98" t="s">
        <v>313</v>
      </c>
      <c r="H98" t="s">
        <v>19</v>
      </c>
      <c r="I98">
        <v>3</v>
      </c>
      <c r="J98" s="1">
        <v>49</v>
      </c>
      <c r="K98" s="8">
        <v>0</v>
      </c>
      <c r="L98" s="1">
        <v>147</v>
      </c>
      <c r="M98" t="s">
        <v>959</v>
      </c>
      <c r="N98" t="s">
        <v>411</v>
      </c>
      <c r="O98" t="s">
        <v>951</v>
      </c>
      <c r="P98" t="s">
        <v>1148</v>
      </c>
      <c r="R98">
        <f t="shared" ref="R98:R129" si="6">YEAR(B98)</f>
        <v>2026</v>
      </c>
      <c r="S98">
        <f t="shared" ref="S98:S129" si="7">MONTH(B98)</f>
        <v>4</v>
      </c>
      <c r="T98">
        <f>IF(OR(O98="Cancelada",O98="Devolvida"),0,IF('03_DASHBOARD'!$B$5="Todos",1,IF(R98=VALUE('03_DASHBOARD'!$B$5),1,0))*IF('03_DASHBOARD'!$D$5="Todos",1,IF(S98=VLOOKUP('03_DASHBOARD'!$D$5,Listas_Dashboard!$A$2:$B$13,2,FALSE()),1,0))*IF('03_DASHBOARD'!$F$5="Todos",1,IF(N98='03_DASHBOARD'!$F$5,1,0))*IF('03_DASHBOARD'!$H$5="Todos",1,IF(H98='03_DASHBOARD'!$H$5,1,0))*IF('03_DASHBOARD'!$J$5="Todos",1,IF(M98='03_DASHBOARD'!$J$5,1,0)))</f>
        <v>1</v>
      </c>
      <c r="U98">
        <f>IF(T98=1,IF(COUNTIFS($C$2:C98,C98,$T$2:T98,1)=1,1,0),0)</f>
        <v>1</v>
      </c>
    </row>
    <row r="99" spans="1:21" ht="15" customHeight="1">
      <c r="A99" t="s">
        <v>1082</v>
      </c>
      <c r="B99" s="2">
        <v>46119</v>
      </c>
      <c r="C99" t="s">
        <v>745</v>
      </c>
      <c r="D99" t="s">
        <v>746</v>
      </c>
      <c r="E99" t="s">
        <v>401</v>
      </c>
      <c r="F99" t="s">
        <v>314</v>
      </c>
      <c r="G99" t="s">
        <v>315</v>
      </c>
      <c r="H99" t="s">
        <v>19</v>
      </c>
      <c r="I99">
        <v>3</v>
      </c>
      <c r="J99" s="1">
        <v>49</v>
      </c>
      <c r="K99" s="8">
        <v>0</v>
      </c>
      <c r="L99" s="1">
        <v>147</v>
      </c>
      <c r="M99" t="s">
        <v>1015</v>
      </c>
      <c r="N99" t="s">
        <v>404</v>
      </c>
      <c r="O99" t="s">
        <v>951</v>
      </c>
      <c r="P99" t="s">
        <v>1148</v>
      </c>
      <c r="R99">
        <f t="shared" si="6"/>
        <v>2026</v>
      </c>
      <c r="S99">
        <f t="shared" si="7"/>
        <v>4</v>
      </c>
      <c r="T99">
        <f>IF(OR(O99="Cancelada",O99="Devolvida"),0,IF('03_DASHBOARD'!$B$5="Todos",1,IF(R99=VALUE('03_DASHBOARD'!$B$5),1,0))*IF('03_DASHBOARD'!$D$5="Todos",1,IF(S99=VLOOKUP('03_DASHBOARD'!$D$5,Listas_Dashboard!$A$2:$B$13,2,FALSE()),1,0))*IF('03_DASHBOARD'!$F$5="Todos",1,IF(N99='03_DASHBOARD'!$F$5,1,0))*IF('03_DASHBOARD'!$H$5="Todos",1,IF(H99='03_DASHBOARD'!$H$5,1,0))*IF('03_DASHBOARD'!$J$5="Todos",1,IF(M99='03_DASHBOARD'!$J$5,1,0)))</f>
        <v>1</v>
      </c>
      <c r="U99">
        <f>IF(T99=1,IF(COUNTIFS($C$2:C99,C99,$T$2:T99,1)=1,1,0),0)</f>
        <v>1</v>
      </c>
    </row>
    <row r="100" spans="1:21" ht="15" customHeight="1">
      <c r="A100" t="s">
        <v>1083</v>
      </c>
      <c r="B100" s="2">
        <v>46120</v>
      </c>
      <c r="C100" t="s">
        <v>749</v>
      </c>
      <c r="D100" t="s">
        <v>750</v>
      </c>
      <c r="E100" t="s">
        <v>420</v>
      </c>
      <c r="F100" t="s">
        <v>318</v>
      </c>
      <c r="G100" t="s">
        <v>319</v>
      </c>
      <c r="H100" t="s">
        <v>19</v>
      </c>
      <c r="I100">
        <v>2</v>
      </c>
      <c r="J100" s="1">
        <v>29</v>
      </c>
      <c r="K100" s="8">
        <v>0</v>
      </c>
      <c r="L100" s="1">
        <v>58</v>
      </c>
      <c r="M100" t="s">
        <v>969</v>
      </c>
      <c r="N100" t="s">
        <v>536</v>
      </c>
      <c r="O100" t="s">
        <v>951</v>
      </c>
      <c r="P100" t="s">
        <v>1148</v>
      </c>
      <c r="R100">
        <f t="shared" si="6"/>
        <v>2026</v>
      </c>
      <c r="S100">
        <f t="shared" si="7"/>
        <v>4</v>
      </c>
      <c r="T100">
        <f>IF(OR(O100="Cancelada",O100="Devolvida"),0,IF('03_DASHBOARD'!$B$5="Todos",1,IF(R100=VALUE('03_DASHBOARD'!$B$5),1,0))*IF('03_DASHBOARD'!$D$5="Todos",1,IF(S100=VLOOKUP('03_DASHBOARD'!$D$5,Listas_Dashboard!$A$2:$B$13,2,FALSE()),1,0))*IF('03_DASHBOARD'!$F$5="Todos",1,IF(N100='03_DASHBOARD'!$F$5,1,0))*IF('03_DASHBOARD'!$H$5="Todos",1,IF(H100='03_DASHBOARD'!$H$5,1,0))*IF('03_DASHBOARD'!$J$5="Todos",1,IF(M100='03_DASHBOARD'!$J$5,1,0)))</f>
        <v>1</v>
      </c>
      <c r="U100">
        <f>IF(T100=1,IF(COUNTIFS($C$2:C100,C100,$T$2:T100,1)=1,1,0),0)</f>
        <v>1</v>
      </c>
    </row>
    <row r="101" spans="1:21" ht="15" customHeight="1">
      <c r="A101" t="s">
        <v>1084</v>
      </c>
      <c r="B101" s="2">
        <v>46121</v>
      </c>
      <c r="C101" t="s">
        <v>753</v>
      </c>
      <c r="D101" t="s">
        <v>754</v>
      </c>
      <c r="E101" t="s">
        <v>465</v>
      </c>
      <c r="F101" t="s">
        <v>320</v>
      </c>
      <c r="G101" t="s">
        <v>321</v>
      </c>
      <c r="H101" t="s">
        <v>19</v>
      </c>
      <c r="I101">
        <v>2</v>
      </c>
      <c r="J101" s="1">
        <v>29</v>
      </c>
      <c r="K101" s="8">
        <v>0</v>
      </c>
      <c r="L101" s="1">
        <v>58</v>
      </c>
      <c r="M101" t="s">
        <v>981</v>
      </c>
      <c r="N101" t="s">
        <v>404</v>
      </c>
      <c r="O101" t="s">
        <v>951</v>
      </c>
      <c r="P101" t="s">
        <v>1148</v>
      </c>
      <c r="R101">
        <f t="shared" si="6"/>
        <v>2026</v>
      </c>
      <c r="S101">
        <f t="shared" si="7"/>
        <v>4</v>
      </c>
      <c r="T101">
        <f>IF(OR(O101="Cancelada",O101="Devolvida"),0,IF('03_DASHBOARD'!$B$5="Todos",1,IF(R101=VALUE('03_DASHBOARD'!$B$5),1,0))*IF('03_DASHBOARD'!$D$5="Todos",1,IF(S101=VLOOKUP('03_DASHBOARD'!$D$5,Listas_Dashboard!$A$2:$B$13,2,FALSE()),1,0))*IF('03_DASHBOARD'!$F$5="Todos",1,IF(N101='03_DASHBOARD'!$F$5,1,0))*IF('03_DASHBOARD'!$H$5="Todos",1,IF(H101='03_DASHBOARD'!$H$5,1,0))*IF('03_DASHBOARD'!$J$5="Todos",1,IF(M101='03_DASHBOARD'!$J$5,1,0)))</f>
        <v>1</v>
      </c>
      <c r="U101">
        <f>IF(T101=1,IF(COUNTIFS($C$2:C101,C101,$T$2:T101,1)=1,1,0),0)</f>
        <v>1</v>
      </c>
    </row>
    <row r="102" spans="1:21" ht="15" customHeight="1">
      <c r="A102" t="s">
        <v>1085</v>
      </c>
      <c r="B102" s="2">
        <v>46122</v>
      </c>
      <c r="C102" t="s">
        <v>757</v>
      </c>
      <c r="D102" t="s">
        <v>758</v>
      </c>
      <c r="E102" t="s">
        <v>401</v>
      </c>
      <c r="F102" t="s">
        <v>324</v>
      </c>
      <c r="G102" t="s">
        <v>325</v>
      </c>
      <c r="H102" t="s">
        <v>35</v>
      </c>
      <c r="I102">
        <v>1</v>
      </c>
      <c r="J102" s="1">
        <v>349</v>
      </c>
      <c r="K102" s="8">
        <v>0</v>
      </c>
      <c r="L102" s="1">
        <v>349</v>
      </c>
      <c r="M102" t="s">
        <v>950</v>
      </c>
      <c r="N102" t="s">
        <v>404</v>
      </c>
      <c r="O102" t="s">
        <v>951</v>
      </c>
      <c r="P102" t="s">
        <v>1148</v>
      </c>
      <c r="R102">
        <f t="shared" si="6"/>
        <v>2026</v>
      </c>
      <c r="S102">
        <f t="shared" si="7"/>
        <v>4</v>
      </c>
      <c r="T102">
        <f>IF(OR(O102="Cancelada",O102="Devolvida"),0,IF('03_DASHBOARD'!$B$5="Todos",1,IF(R102=VALUE('03_DASHBOARD'!$B$5),1,0))*IF('03_DASHBOARD'!$D$5="Todos",1,IF(S102=VLOOKUP('03_DASHBOARD'!$D$5,Listas_Dashboard!$A$2:$B$13,2,FALSE()),1,0))*IF('03_DASHBOARD'!$F$5="Todos",1,IF(N102='03_DASHBOARD'!$F$5,1,0))*IF('03_DASHBOARD'!$H$5="Todos",1,IF(H102='03_DASHBOARD'!$H$5,1,0))*IF('03_DASHBOARD'!$J$5="Todos",1,IF(M102='03_DASHBOARD'!$J$5,1,0)))</f>
        <v>1</v>
      </c>
      <c r="U102">
        <f>IF(T102=1,IF(COUNTIFS($C$2:C102,C102,$T$2:T102,1)=1,1,0),0)</f>
        <v>1</v>
      </c>
    </row>
    <row r="103" spans="1:21" ht="15" customHeight="1">
      <c r="A103" t="s">
        <v>1086</v>
      </c>
      <c r="B103" s="2">
        <v>46123</v>
      </c>
      <c r="C103" t="s">
        <v>760</v>
      </c>
      <c r="D103" t="s">
        <v>758</v>
      </c>
      <c r="E103" t="s">
        <v>401</v>
      </c>
      <c r="F103" t="s">
        <v>326</v>
      </c>
      <c r="G103" t="s">
        <v>327</v>
      </c>
      <c r="H103" t="s">
        <v>35</v>
      </c>
      <c r="I103">
        <v>2</v>
      </c>
      <c r="J103" s="1">
        <v>349</v>
      </c>
      <c r="K103" s="8">
        <v>10</v>
      </c>
      <c r="L103" s="1">
        <v>628.20000000000005</v>
      </c>
      <c r="M103" t="s">
        <v>954</v>
      </c>
      <c r="N103" t="s">
        <v>536</v>
      </c>
      <c r="O103" t="s">
        <v>951</v>
      </c>
      <c r="P103" t="s">
        <v>1148</v>
      </c>
      <c r="R103">
        <f t="shared" si="6"/>
        <v>2026</v>
      </c>
      <c r="S103">
        <f t="shared" si="7"/>
        <v>4</v>
      </c>
      <c r="T103">
        <f>IF(OR(O103="Cancelada",O103="Devolvida"),0,IF('03_DASHBOARD'!$B$5="Todos",1,IF(R103=VALUE('03_DASHBOARD'!$B$5),1,0))*IF('03_DASHBOARD'!$D$5="Todos",1,IF(S103=VLOOKUP('03_DASHBOARD'!$D$5,Listas_Dashboard!$A$2:$B$13,2,FALSE()),1,0))*IF('03_DASHBOARD'!$F$5="Todos",1,IF(N103='03_DASHBOARD'!$F$5,1,0))*IF('03_DASHBOARD'!$H$5="Todos",1,IF(H103='03_DASHBOARD'!$H$5,1,0))*IF('03_DASHBOARD'!$J$5="Todos",1,IF(M103='03_DASHBOARD'!$J$5,1,0)))</f>
        <v>1</v>
      </c>
      <c r="U103">
        <f>IF(T103=1,IF(COUNTIFS($C$2:C103,C103,$T$2:T103,1)=1,1,0),0)</f>
        <v>1</v>
      </c>
    </row>
    <row r="104" spans="1:21" ht="15" customHeight="1">
      <c r="A104" t="s">
        <v>1087</v>
      </c>
      <c r="B104" s="2">
        <v>46124</v>
      </c>
      <c r="C104" t="s">
        <v>762</v>
      </c>
      <c r="D104" t="s">
        <v>763</v>
      </c>
      <c r="E104" t="s">
        <v>420</v>
      </c>
      <c r="F104" t="s">
        <v>329</v>
      </c>
      <c r="G104" t="s">
        <v>325</v>
      </c>
      <c r="H104" t="s">
        <v>35</v>
      </c>
      <c r="I104">
        <v>3</v>
      </c>
      <c r="J104" s="1">
        <v>129</v>
      </c>
      <c r="K104" s="8">
        <v>0</v>
      </c>
      <c r="L104" s="1">
        <v>387</v>
      </c>
      <c r="M104" t="s">
        <v>959</v>
      </c>
      <c r="N104" t="s">
        <v>411</v>
      </c>
      <c r="O104" t="s">
        <v>951</v>
      </c>
      <c r="P104" t="s">
        <v>1148</v>
      </c>
      <c r="R104">
        <f t="shared" si="6"/>
        <v>2026</v>
      </c>
      <c r="S104">
        <f t="shared" si="7"/>
        <v>4</v>
      </c>
      <c r="T104">
        <f>IF(OR(O104="Cancelada",O104="Devolvida"),0,IF('03_DASHBOARD'!$B$5="Todos",1,IF(R104=VALUE('03_DASHBOARD'!$B$5),1,0))*IF('03_DASHBOARD'!$D$5="Todos",1,IF(S104=VLOOKUP('03_DASHBOARD'!$D$5,Listas_Dashboard!$A$2:$B$13,2,FALSE()),1,0))*IF('03_DASHBOARD'!$F$5="Todos",1,IF(N104='03_DASHBOARD'!$F$5,1,0))*IF('03_DASHBOARD'!$H$5="Todos",1,IF(H104='03_DASHBOARD'!$H$5,1,0))*IF('03_DASHBOARD'!$J$5="Todos",1,IF(M104='03_DASHBOARD'!$J$5,1,0)))</f>
        <v>1</v>
      </c>
      <c r="U104">
        <f>IF(T104=1,IF(COUNTIFS($C$2:C104,C104,$T$2:T104,1)=1,1,0),0)</f>
        <v>1</v>
      </c>
    </row>
    <row r="105" spans="1:21" ht="15" customHeight="1">
      <c r="A105" t="s">
        <v>1088</v>
      </c>
      <c r="B105" s="2">
        <v>46125</v>
      </c>
      <c r="C105" t="s">
        <v>765</v>
      </c>
      <c r="D105" t="s">
        <v>766</v>
      </c>
      <c r="E105" t="s">
        <v>407</v>
      </c>
      <c r="F105" t="s">
        <v>330</v>
      </c>
      <c r="G105" t="s">
        <v>331</v>
      </c>
      <c r="H105" t="s">
        <v>35</v>
      </c>
      <c r="I105">
        <v>2</v>
      </c>
      <c r="J105" s="1">
        <v>129</v>
      </c>
      <c r="K105" s="8">
        <v>5</v>
      </c>
      <c r="L105" s="1">
        <v>245.1</v>
      </c>
      <c r="M105" t="s">
        <v>1015</v>
      </c>
      <c r="N105" t="s">
        <v>404</v>
      </c>
      <c r="O105" t="s">
        <v>951</v>
      </c>
      <c r="P105" t="s">
        <v>1148</v>
      </c>
      <c r="R105">
        <f t="shared" si="6"/>
        <v>2026</v>
      </c>
      <c r="S105">
        <f t="shared" si="7"/>
        <v>4</v>
      </c>
      <c r="T105">
        <f>IF(OR(O105="Cancelada",O105="Devolvida"),0,IF('03_DASHBOARD'!$B$5="Todos",1,IF(R105=VALUE('03_DASHBOARD'!$B$5),1,0))*IF('03_DASHBOARD'!$D$5="Todos",1,IF(S105=VLOOKUP('03_DASHBOARD'!$D$5,Listas_Dashboard!$A$2:$B$13,2,FALSE()),1,0))*IF('03_DASHBOARD'!$F$5="Todos",1,IF(N105='03_DASHBOARD'!$F$5,1,0))*IF('03_DASHBOARD'!$H$5="Todos",1,IF(H105='03_DASHBOARD'!$H$5,1,0))*IF('03_DASHBOARD'!$J$5="Todos",1,IF(M105='03_DASHBOARD'!$J$5,1,0)))</f>
        <v>1</v>
      </c>
      <c r="U105">
        <f>IF(T105=1,IF(COUNTIFS($C$2:C105,C105,$T$2:T105,1)=1,1,0),0)</f>
        <v>1</v>
      </c>
    </row>
    <row r="106" spans="1:21" ht="15" customHeight="1">
      <c r="A106" t="s">
        <v>1089</v>
      </c>
      <c r="B106" s="2">
        <v>46126</v>
      </c>
      <c r="C106" t="s">
        <v>770</v>
      </c>
      <c r="D106" t="s">
        <v>771</v>
      </c>
      <c r="E106" t="s">
        <v>470</v>
      </c>
      <c r="F106" t="s">
        <v>332</v>
      </c>
      <c r="G106" t="s">
        <v>333</v>
      </c>
      <c r="H106" t="s">
        <v>35</v>
      </c>
      <c r="I106">
        <v>1</v>
      </c>
      <c r="J106" s="1">
        <v>249</v>
      </c>
      <c r="K106" s="8">
        <v>0</v>
      </c>
      <c r="L106" s="1">
        <v>249</v>
      </c>
      <c r="M106" t="s">
        <v>1017</v>
      </c>
      <c r="N106" t="s">
        <v>404</v>
      </c>
      <c r="O106" t="s">
        <v>951</v>
      </c>
      <c r="P106" t="s">
        <v>1148</v>
      </c>
      <c r="R106">
        <f t="shared" si="6"/>
        <v>2026</v>
      </c>
      <c r="S106">
        <f t="shared" si="7"/>
        <v>4</v>
      </c>
      <c r="T106">
        <f>IF(OR(O106="Cancelada",O106="Devolvida"),0,IF('03_DASHBOARD'!$B$5="Todos",1,IF(R106=VALUE('03_DASHBOARD'!$B$5),1,0))*IF('03_DASHBOARD'!$D$5="Todos",1,IF(S106=VLOOKUP('03_DASHBOARD'!$D$5,Listas_Dashboard!$A$2:$B$13,2,FALSE()),1,0))*IF('03_DASHBOARD'!$F$5="Todos",1,IF(N106='03_DASHBOARD'!$F$5,1,0))*IF('03_DASHBOARD'!$H$5="Todos",1,IF(H106='03_DASHBOARD'!$H$5,1,0))*IF('03_DASHBOARD'!$J$5="Todos",1,IF(M106='03_DASHBOARD'!$J$5,1,0)))</f>
        <v>1</v>
      </c>
      <c r="U106">
        <f>IF(T106=1,IF(COUNTIFS($C$2:C106,C106,$T$2:T106,1)=1,1,0),0)</f>
        <v>1</v>
      </c>
    </row>
    <row r="107" spans="1:21" ht="15" customHeight="1">
      <c r="A107" t="s">
        <v>1090</v>
      </c>
      <c r="B107" s="2">
        <v>46127</v>
      </c>
      <c r="C107" t="s">
        <v>773</v>
      </c>
      <c r="D107" t="s">
        <v>774</v>
      </c>
      <c r="E107" t="s">
        <v>401</v>
      </c>
      <c r="F107" t="s">
        <v>335</v>
      </c>
      <c r="G107" t="s">
        <v>336</v>
      </c>
      <c r="H107" t="s">
        <v>19</v>
      </c>
      <c r="I107">
        <v>4</v>
      </c>
      <c r="J107" s="1">
        <v>249</v>
      </c>
      <c r="K107" s="8">
        <v>15</v>
      </c>
      <c r="L107" s="1">
        <v>846.6</v>
      </c>
      <c r="M107" t="s">
        <v>950</v>
      </c>
      <c r="N107" t="s">
        <v>536</v>
      </c>
      <c r="O107" t="s">
        <v>951</v>
      </c>
      <c r="P107" t="s">
        <v>1148</v>
      </c>
      <c r="R107">
        <f t="shared" si="6"/>
        <v>2026</v>
      </c>
      <c r="S107">
        <f t="shared" si="7"/>
        <v>4</v>
      </c>
      <c r="T107">
        <f>IF(OR(O107="Cancelada",O107="Devolvida"),0,IF('03_DASHBOARD'!$B$5="Todos",1,IF(R107=VALUE('03_DASHBOARD'!$B$5),1,0))*IF('03_DASHBOARD'!$D$5="Todos",1,IF(S107=VLOOKUP('03_DASHBOARD'!$D$5,Listas_Dashboard!$A$2:$B$13,2,FALSE()),1,0))*IF('03_DASHBOARD'!$F$5="Todos",1,IF(N107='03_DASHBOARD'!$F$5,1,0))*IF('03_DASHBOARD'!$H$5="Todos",1,IF(H107='03_DASHBOARD'!$H$5,1,0))*IF('03_DASHBOARD'!$J$5="Todos",1,IF(M107='03_DASHBOARD'!$J$5,1,0)))</f>
        <v>1</v>
      </c>
      <c r="U107">
        <f>IF(T107=1,IF(COUNTIFS($C$2:C107,C107,$T$2:T107,1)=1,1,0),0)</f>
        <v>1</v>
      </c>
    </row>
    <row r="108" spans="1:21" ht="15" customHeight="1">
      <c r="A108" t="s">
        <v>1091</v>
      </c>
      <c r="B108" s="2">
        <v>46128</v>
      </c>
      <c r="C108" t="s">
        <v>776</v>
      </c>
      <c r="D108" t="s">
        <v>777</v>
      </c>
      <c r="E108" t="s">
        <v>414</v>
      </c>
      <c r="F108" t="s">
        <v>337</v>
      </c>
      <c r="G108" t="s">
        <v>338</v>
      </c>
      <c r="H108" t="s">
        <v>19</v>
      </c>
      <c r="I108">
        <v>2</v>
      </c>
      <c r="J108" s="1">
        <v>59</v>
      </c>
      <c r="K108" s="8">
        <v>0</v>
      </c>
      <c r="L108" s="1">
        <v>118</v>
      </c>
      <c r="M108" t="s">
        <v>954</v>
      </c>
      <c r="N108" t="s">
        <v>404</v>
      </c>
      <c r="O108" t="s">
        <v>951</v>
      </c>
      <c r="P108" t="s">
        <v>1148</v>
      </c>
      <c r="R108">
        <f t="shared" si="6"/>
        <v>2026</v>
      </c>
      <c r="S108">
        <f t="shared" si="7"/>
        <v>4</v>
      </c>
      <c r="T108">
        <f>IF(OR(O108="Cancelada",O108="Devolvida"),0,IF('03_DASHBOARD'!$B$5="Todos",1,IF(R108=VALUE('03_DASHBOARD'!$B$5),1,0))*IF('03_DASHBOARD'!$D$5="Todos",1,IF(S108=VLOOKUP('03_DASHBOARD'!$D$5,Listas_Dashboard!$A$2:$B$13,2,FALSE()),1,0))*IF('03_DASHBOARD'!$F$5="Todos",1,IF(N108='03_DASHBOARD'!$F$5,1,0))*IF('03_DASHBOARD'!$H$5="Todos",1,IF(H108='03_DASHBOARD'!$H$5,1,0))*IF('03_DASHBOARD'!$J$5="Todos",1,IF(M108='03_DASHBOARD'!$J$5,1,0)))</f>
        <v>1</v>
      </c>
      <c r="U108">
        <f>IF(T108=1,IF(COUNTIFS($C$2:C108,C108,$T$2:T108,1)=1,1,0),0)</f>
        <v>1</v>
      </c>
    </row>
    <row r="109" spans="1:21" ht="15" customHeight="1">
      <c r="A109" t="s">
        <v>1092</v>
      </c>
      <c r="B109" s="2">
        <v>46129</v>
      </c>
      <c r="C109" t="s">
        <v>779</v>
      </c>
      <c r="D109" t="s">
        <v>780</v>
      </c>
      <c r="E109" t="s">
        <v>407</v>
      </c>
      <c r="F109" t="s">
        <v>340</v>
      </c>
      <c r="G109" t="s">
        <v>341</v>
      </c>
      <c r="H109" t="s">
        <v>19</v>
      </c>
      <c r="I109">
        <v>5</v>
      </c>
      <c r="J109" s="1">
        <v>59</v>
      </c>
      <c r="K109" s="8">
        <v>0</v>
      </c>
      <c r="L109" s="1">
        <v>295</v>
      </c>
      <c r="M109" t="s">
        <v>1019</v>
      </c>
      <c r="N109" t="s">
        <v>411</v>
      </c>
      <c r="O109" t="s">
        <v>951</v>
      </c>
      <c r="P109" t="s">
        <v>1148</v>
      </c>
      <c r="R109">
        <f t="shared" si="6"/>
        <v>2026</v>
      </c>
      <c r="S109">
        <f t="shared" si="7"/>
        <v>4</v>
      </c>
      <c r="T109">
        <f>IF(OR(O109="Cancelada",O109="Devolvida"),0,IF('03_DASHBOARD'!$B$5="Todos",1,IF(R109=VALUE('03_DASHBOARD'!$B$5),1,0))*IF('03_DASHBOARD'!$D$5="Todos",1,IF(S109=VLOOKUP('03_DASHBOARD'!$D$5,Listas_Dashboard!$A$2:$B$13,2,FALSE()),1,0))*IF('03_DASHBOARD'!$F$5="Todos",1,IF(N109='03_DASHBOARD'!$F$5,1,0))*IF('03_DASHBOARD'!$H$5="Todos",1,IF(H109='03_DASHBOARD'!$H$5,1,0))*IF('03_DASHBOARD'!$J$5="Todos",1,IF(M109='03_DASHBOARD'!$J$5,1,0)))</f>
        <v>1</v>
      </c>
      <c r="U109">
        <f>IF(T109=1,IF(COUNTIFS($C$2:C109,C109,$T$2:T109,1)=1,1,0),0)</f>
        <v>1</v>
      </c>
    </row>
    <row r="110" spans="1:21" ht="15" customHeight="1">
      <c r="A110" t="s">
        <v>1093</v>
      </c>
      <c r="B110" s="2">
        <v>46130</v>
      </c>
      <c r="C110" t="s">
        <v>782</v>
      </c>
      <c r="D110" t="s">
        <v>783</v>
      </c>
      <c r="E110" t="s">
        <v>401</v>
      </c>
      <c r="F110" t="s">
        <v>343</v>
      </c>
      <c r="G110" t="s">
        <v>344</v>
      </c>
      <c r="H110" t="s">
        <v>53</v>
      </c>
      <c r="I110">
        <v>1</v>
      </c>
      <c r="J110" s="1">
        <v>399</v>
      </c>
      <c r="K110" s="8">
        <v>0</v>
      </c>
      <c r="L110" s="1">
        <v>399</v>
      </c>
      <c r="M110" t="s">
        <v>959</v>
      </c>
      <c r="N110" t="s">
        <v>1026</v>
      </c>
      <c r="O110" t="s">
        <v>951</v>
      </c>
      <c r="P110" t="s">
        <v>1148</v>
      </c>
      <c r="R110">
        <f t="shared" si="6"/>
        <v>2026</v>
      </c>
      <c r="S110">
        <f t="shared" si="7"/>
        <v>4</v>
      </c>
      <c r="T110">
        <f>IF(OR(O110="Cancelada",O110="Devolvida"),0,IF('03_DASHBOARD'!$B$5="Todos",1,IF(R110=VALUE('03_DASHBOARD'!$B$5),1,0))*IF('03_DASHBOARD'!$D$5="Todos",1,IF(S110=VLOOKUP('03_DASHBOARD'!$D$5,Listas_Dashboard!$A$2:$B$13,2,FALSE()),1,0))*IF('03_DASHBOARD'!$F$5="Todos",1,IF(N110='03_DASHBOARD'!$F$5,1,0))*IF('03_DASHBOARD'!$H$5="Todos",1,IF(H110='03_DASHBOARD'!$H$5,1,0))*IF('03_DASHBOARD'!$J$5="Todos",1,IF(M110='03_DASHBOARD'!$J$5,1,0)))</f>
        <v>1</v>
      </c>
      <c r="U110">
        <f>IF(T110=1,IF(COUNTIFS($C$2:C110,C110,$T$2:T110,1)=1,1,0),0)</f>
        <v>1</v>
      </c>
    </row>
    <row r="111" spans="1:21" ht="15" customHeight="1">
      <c r="A111" t="s">
        <v>1094</v>
      </c>
      <c r="B111" s="2">
        <v>46131</v>
      </c>
      <c r="C111" t="s">
        <v>785</v>
      </c>
      <c r="D111" t="s">
        <v>786</v>
      </c>
      <c r="E111" t="s">
        <v>420</v>
      </c>
      <c r="F111" t="s">
        <v>345</v>
      </c>
      <c r="G111" t="s">
        <v>346</v>
      </c>
      <c r="H111" t="s">
        <v>53</v>
      </c>
      <c r="I111">
        <v>2</v>
      </c>
      <c r="J111" s="1">
        <v>399</v>
      </c>
      <c r="K111" s="8">
        <v>5</v>
      </c>
      <c r="L111" s="1">
        <v>758.1</v>
      </c>
      <c r="M111" t="s">
        <v>969</v>
      </c>
      <c r="N111" t="s">
        <v>404</v>
      </c>
      <c r="O111" t="s">
        <v>951</v>
      </c>
      <c r="P111" t="s">
        <v>1148</v>
      </c>
      <c r="R111">
        <f t="shared" si="6"/>
        <v>2026</v>
      </c>
      <c r="S111">
        <f t="shared" si="7"/>
        <v>4</v>
      </c>
      <c r="T111">
        <f>IF(OR(O111="Cancelada",O111="Devolvida"),0,IF('03_DASHBOARD'!$B$5="Todos",1,IF(R111=VALUE('03_DASHBOARD'!$B$5),1,0))*IF('03_DASHBOARD'!$D$5="Todos",1,IF(S111=VLOOKUP('03_DASHBOARD'!$D$5,Listas_Dashboard!$A$2:$B$13,2,FALSE()),1,0))*IF('03_DASHBOARD'!$F$5="Todos",1,IF(N111='03_DASHBOARD'!$F$5,1,0))*IF('03_DASHBOARD'!$H$5="Todos",1,IF(H111='03_DASHBOARD'!$H$5,1,0))*IF('03_DASHBOARD'!$J$5="Todos",1,IF(M111='03_DASHBOARD'!$J$5,1,0)))</f>
        <v>1</v>
      </c>
      <c r="U111">
        <f>IF(T111=1,IF(COUNTIFS($C$2:C111,C111,$T$2:T111,1)=1,1,0),0)</f>
        <v>1</v>
      </c>
    </row>
    <row r="112" spans="1:21" ht="15" customHeight="1">
      <c r="A112" t="s">
        <v>1095</v>
      </c>
      <c r="B112" s="2">
        <v>46132</v>
      </c>
      <c r="C112" t="s">
        <v>788</v>
      </c>
      <c r="D112" t="s">
        <v>789</v>
      </c>
      <c r="E112" t="s">
        <v>401</v>
      </c>
      <c r="F112" t="s">
        <v>348</v>
      </c>
      <c r="G112" t="s">
        <v>349</v>
      </c>
      <c r="H112" t="s">
        <v>53</v>
      </c>
      <c r="I112">
        <v>3</v>
      </c>
      <c r="J112" s="1">
        <v>79</v>
      </c>
      <c r="K112" s="8">
        <v>0</v>
      </c>
      <c r="L112" s="1">
        <v>237</v>
      </c>
      <c r="M112" t="s">
        <v>954</v>
      </c>
      <c r="N112" t="s">
        <v>404</v>
      </c>
      <c r="O112" t="s">
        <v>951</v>
      </c>
      <c r="P112" t="s">
        <v>1148</v>
      </c>
      <c r="R112">
        <f t="shared" si="6"/>
        <v>2026</v>
      </c>
      <c r="S112">
        <f t="shared" si="7"/>
        <v>4</v>
      </c>
      <c r="T112">
        <f>IF(OR(O112="Cancelada",O112="Devolvida"),0,IF('03_DASHBOARD'!$B$5="Todos",1,IF(R112=VALUE('03_DASHBOARD'!$B$5),1,0))*IF('03_DASHBOARD'!$D$5="Todos",1,IF(S112=VLOOKUP('03_DASHBOARD'!$D$5,Listas_Dashboard!$A$2:$B$13,2,FALSE()),1,0))*IF('03_DASHBOARD'!$F$5="Todos",1,IF(N112='03_DASHBOARD'!$F$5,1,0))*IF('03_DASHBOARD'!$H$5="Todos",1,IF(H112='03_DASHBOARD'!$H$5,1,0))*IF('03_DASHBOARD'!$J$5="Todos",1,IF(M112='03_DASHBOARD'!$J$5,1,0)))</f>
        <v>1</v>
      </c>
      <c r="U112">
        <f>IF(T112=1,IF(COUNTIFS($C$2:C112,C112,$T$2:T112,1)=1,1,0),0)</f>
        <v>1</v>
      </c>
    </row>
    <row r="113" spans="1:21" ht="15" customHeight="1">
      <c r="A113" t="s">
        <v>1096</v>
      </c>
      <c r="B113" s="2">
        <v>46133</v>
      </c>
      <c r="C113" t="s">
        <v>792</v>
      </c>
      <c r="D113" t="s">
        <v>793</v>
      </c>
      <c r="E113" t="s">
        <v>407</v>
      </c>
      <c r="F113" t="s">
        <v>350</v>
      </c>
      <c r="G113" t="s">
        <v>351</v>
      </c>
      <c r="H113" t="s">
        <v>53</v>
      </c>
      <c r="I113">
        <v>2</v>
      </c>
      <c r="J113" s="1">
        <v>79</v>
      </c>
      <c r="K113" s="8">
        <v>0</v>
      </c>
      <c r="L113" s="1">
        <v>158</v>
      </c>
      <c r="M113" t="s">
        <v>950</v>
      </c>
      <c r="N113" t="s">
        <v>536</v>
      </c>
      <c r="O113" t="s">
        <v>951</v>
      </c>
      <c r="P113" t="s">
        <v>1148</v>
      </c>
      <c r="R113">
        <f t="shared" si="6"/>
        <v>2026</v>
      </c>
      <c r="S113">
        <f t="shared" si="7"/>
        <v>4</v>
      </c>
      <c r="T113">
        <f>IF(OR(O113="Cancelada",O113="Devolvida"),0,IF('03_DASHBOARD'!$B$5="Todos",1,IF(R113=VALUE('03_DASHBOARD'!$B$5),1,0))*IF('03_DASHBOARD'!$D$5="Todos",1,IF(S113=VLOOKUP('03_DASHBOARD'!$D$5,Listas_Dashboard!$A$2:$B$13,2,FALSE()),1,0))*IF('03_DASHBOARD'!$F$5="Todos",1,IF(N113='03_DASHBOARD'!$F$5,1,0))*IF('03_DASHBOARD'!$H$5="Todos",1,IF(H113='03_DASHBOARD'!$H$5,1,0))*IF('03_DASHBOARD'!$J$5="Todos",1,IF(M113='03_DASHBOARD'!$J$5,1,0)))</f>
        <v>1</v>
      </c>
      <c r="U113">
        <f>IF(T113=1,IF(COUNTIFS($C$2:C113,C113,$T$2:T113,1)=1,1,0),0)</f>
        <v>1</v>
      </c>
    </row>
    <row r="114" spans="1:21" ht="15" customHeight="1">
      <c r="A114" t="s">
        <v>1097</v>
      </c>
      <c r="B114" s="2">
        <v>46134</v>
      </c>
      <c r="C114" t="s">
        <v>796</v>
      </c>
      <c r="D114" t="s">
        <v>797</v>
      </c>
      <c r="E114" t="s">
        <v>414</v>
      </c>
      <c r="F114" t="s">
        <v>353</v>
      </c>
      <c r="G114" t="s">
        <v>354</v>
      </c>
      <c r="H114" t="s">
        <v>135</v>
      </c>
      <c r="I114">
        <v>1</v>
      </c>
      <c r="J114" s="1">
        <v>129</v>
      </c>
      <c r="K114" s="8">
        <v>0</v>
      </c>
      <c r="L114" s="1">
        <v>129</v>
      </c>
      <c r="M114" t="s">
        <v>1017</v>
      </c>
      <c r="N114" t="s">
        <v>411</v>
      </c>
      <c r="O114" t="s">
        <v>951</v>
      </c>
      <c r="P114" t="s">
        <v>1148</v>
      </c>
      <c r="R114">
        <f t="shared" si="6"/>
        <v>2026</v>
      </c>
      <c r="S114">
        <f t="shared" si="7"/>
        <v>4</v>
      </c>
      <c r="T114">
        <f>IF(OR(O114="Cancelada",O114="Devolvida"),0,IF('03_DASHBOARD'!$B$5="Todos",1,IF(R114=VALUE('03_DASHBOARD'!$B$5),1,0))*IF('03_DASHBOARD'!$D$5="Todos",1,IF(S114=VLOOKUP('03_DASHBOARD'!$D$5,Listas_Dashboard!$A$2:$B$13,2,FALSE()),1,0))*IF('03_DASHBOARD'!$F$5="Todos",1,IF(N114='03_DASHBOARD'!$F$5,1,0))*IF('03_DASHBOARD'!$H$5="Todos",1,IF(H114='03_DASHBOARD'!$H$5,1,0))*IF('03_DASHBOARD'!$J$5="Todos",1,IF(M114='03_DASHBOARD'!$J$5,1,0)))</f>
        <v>1</v>
      </c>
      <c r="U114">
        <f>IF(T114=1,IF(COUNTIFS($C$2:C114,C114,$T$2:T114,1)=1,1,0),0)</f>
        <v>1</v>
      </c>
    </row>
    <row r="115" spans="1:21" ht="15" customHeight="1">
      <c r="A115" t="s">
        <v>1098</v>
      </c>
      <c r="B115" s="2">
        <v>46135</v>
      </c>
      <c r="C115" t="s">
        <v>799</v>
      </c>
      <c r="D115" t="s">
        <v>800</v>
      </c>
      <c r="E115" t="s">
        <v>420</v>
      </c>
      <c r="F115" t="s">
        <v>355</v>
      </c>
      <c r="G115" t="s">
        <v>356</v>
      </c>
      <c r="H115" t="s">
        <v>135</v>
      </c>
      <c r="I115">
        <v>1</v>
      </c>
      <c r="J115" s="1">
        <v>129</v>
      </c>
      <c r="K115" s="8">
        <v>0</v>
      </c>
      <c r="L115" s="1">
        <v>129</v>
      </c>
      <c r="M115" t="s">
        <v>1015</v>
      </c>
      <c r="N115" t="s">
        <v>404</v>
      </c>
      <c r="O115" t="s">
        <v>951</v>
      </c>
      <c r="P115" t="s">
        <v>1148</v>
      </c>
      <c r="R115">
        <f t="shared" si="6"/>
        <v>2026</v>
      </c>
      <c r="S115">
        <f t="shared" si="7"/>
        <v>4</v>
      </c>
      <c r="T115">
        <f>IF(OR(O115="Cancelada",O115="Devolvida"),0,IF('03_DASHBOARD'!$B$5="Todos",1,IF(R115=VALUE('03_DASHBOARD'!$B$5),1,0))*IF('03_DASHBOARD'!$D$5="Todos",1,IF(S115=VLOOKUP('03_DASHBOARD'!$D$5,Listas_Dashboard!$A$2:$B$13,2,FALSE()),1,0))*IF('03_DASHBOARD'!$F$5="Todos",1,IF(N115='03_DASHBOARD'!$F$5,1,0))*IF('03_DASHBOARD'!$H$5="Todos",1,IF(H115='03_DASHBOARD'!$H$5,1,0))*IF('03_DASHBOARD'!$J$5="Todos",1,IF(M115='03_DASHBOARD'!$J$5,1,0)))</f>
        <v>1</v>
      </c>
      <c r="U115">
        <f>IF(T115=1,IF(COUNTIFS($C$2:C115,C115,$T$2:T115,1)=1,1,0),0)</f>
        <v>1</v>
      </c>
    </row>
    <row r="116" spans="1:21" ht="15" customHeight="1">
      <c r="A116" t="s">
        <v>1099</v>
      </c>
      <c r="B116" s="2">
        <v>46136</v>
      </c>
      <c r="C116" t="s">
        <v>803</v>
      </c>
      <c r="D116" t="s">
        <v>804</v>
      </c>
      <c r="E116" t="s">
        <v>401</v>
      </c>
      <c r="F116" t="s">
        <v>358</v>
      </c>
      <c r="G116" t="s">
        <v>359</v>
      </c>
      <c r="H116" t="s">
        <v>176</v>
      </c>
      <c r="I116">
        <v>2</v>
      </c>
      <c r="J116" s="1">
        <v>159</v>
      </c>
      <c r="K116" s="8">
        <v>10</v>
      </c>
      <c r="L116" s="1">
        <v>286.2</v>
      </c>
      <c r="M116" t="s">
        <v>981</v>
      </c>
      <c r="N116" t="s">
        <v>1021</v>
      </c>
      <c r="O116" t="s">
        <v>951</v>
      </c>
      <c r="P116" t="s">
        <v>1148</v>
      </c>
      <c r="R116">
        <f t="shared" si="6"/>
        <v>2026</v>
      </c>
      <c r="S116">
        <f t="shared" si="7"/>
        <v>4</v>
      </c>
      <c r="T116">
        <f>IF(OR(O116="Cancelada",O116="Devolvida"),0,IF('03_DASHBOARD'!$B$5="Todos",1,IF(R116=VALUE('03_DASHBOARD'!$B$5),1,0))*IF('03_DASHBOARD'!$D$5="Todos",1,IF(S116=VLOOKUP('03_DASHBOARD'!$D$5,Listas_Dashboard!$A$2:$B$13,2,FALSE()),1,0))*IF('03_DASHBOARD'!$F$5="Todos",1,IF(N116='03_DASHBOARD'!$F$5,1,0))*IF('03_DASHBOARD'!$H$5="Todos",1,IF(H116='03_DASHBOARD'!$H$5,1,0))*IF('03_DASHBOARD'!$J$5="Todos",1,IF(M116='03_DASHBOARD'!$J$5,1,0)))</f>
        <v>1</v>
      </c>
      <c r="U116">
        <f>IF(T116=1,IF(COUNTIFS($C$2:C116,C116,$T$2:T116,1)=1,1,0),0)</f>
        <v>1</v>
      </c>
    </row>
    <row r="117" spans="1:21" ht="15" customHeight="1">
      <c r="A117" t="s">
        <v>1100</v>
      </c>
      <c r="B117" s="2">
        <v>46137</v>
      </c>
      <c r="C117" t="s">
        <v>805</v>
      </c>
      <c r="D117" t="s">
        <v>806</v>
      </c>
      <c r="E117" t="s">
        <v>459</v>
      </c>
      <c r="F117" t="s">
        <v>360</v>
      </c>
      <c r="G117" t="s">
        <v>361</v>
      </c>
      <c r="H117" t="s">
        <v>176</v>
      </c>
      <c r="I117">
        <v>1</v>
      </c>
      <c r="J117" s="1">
        <v>159</v>
      </c>
      <c r="K117" s="8">
        <v>0</v>
      </c>
      <c r="L117" s="1">
        <v>159</v>
      </c>
      <c r="M117" t="s">
        <v>950</v>
      </c>
      <c r="N117" t="s">
        <v>404</v>
      </c>
      <c r="O117" t="s">
        <v>961</v>
      </c>
      <c r="P117" t="s">
        <v>1149</v>
      </c>
      <c r="R117">
        <f t="shared" si="6"/>
        <v>2026</v>
      </c>
      <c r="S117">
        <f t="shared" si="7"/>
        <v>4</v>
      </c>
      <c r="T117">
        <f>IF(OR(O117="Cancelada",O117="Devolvida"),0,IF('03_DASHBOARD'!$B$5="Todos",1,IF(R117=VALUE('03_DASHBOARD'!$B$5),1,0))*IF('03_DASHBOARD'!$D$5="Todos",1,IF(S117=VLOOKUP('03_DASHBOARD'!$D$5,Listas_Dashboard!$A$2:$B$13,2,FALSE()),1,0))*IF('03_DASHBOARD'!$F$5="Todos",1,IF(N117='03_DASHBOARD'!$F$5,1,0))*IF('03_DASHBOARD'!$H$5="Todos",1,IF(H117='03_DASHBOARD'!$H$5,1,0))*IF('03_DASHBOARD'!$J$5="Todos",1,IF(M117='03_DASHBOARD'!$J$5,1,0)))</f>
        <v>0</v>
      </c>
      <c r="U117">
        <f>IF(T117=1,IF(COUNTIFS($C$2:C117,C117,$T$2:T117,1)=1,1,0),0)</f>
        <v>0</v>
      </c>
    </row>
    <row r="118" spans="1:21" ht="15" customHeight="1">
      <c r="A118" t="s">
        <v>1101</v>
      </c>
      <c r="B118" s="2">
        <v>46138</v>
      </c>
      <c r="C118" t="s">
        <v>809</v>
      </c>
      <c r="D118" t="s">
        <v>810</v>
      </c>
      <c r="E118" t="s">
        <v>465</v>
      </c>
      <c r="F118" t="s">
        <v>364</v>
      </c>
      <c r="G118" t="s">
        <v>365</v>
      </c>
      <c r="H118" t="s">
        <v>176</v>
      </c>
      <c r="I118">
        <v>1</v>
      </c>
      <c r="J118" s="1">
        <v>89</v>
      </c>
      <c r="K118" s="8">
        <v>0</v>
      </c>
      <c r="L118" s="1">
        <v>89</v>
      </c>
      <c r="M118" t="s">
        <v>954</v>
      </c>
      <c r="N118" t="s">
        <v>536</v>
      </c>
      <c r="O118" t="s">
        <v>951</v>
      </c>
      <c r="P118" t="s">
        <v>1148</v>
      </c>
      <c r="R118">
        <f t="shared" si="6"/>
        <v>2026</v>
      </c>
      <c r="S118">
        <f t="shared" si="7"/>
        <v>4</v>
      </c>
      <c r="T118">
        <f>IF(OR(O118="Cancelada",O118="Devolvida"),0,IF('03_DASHBOARD'!$B$5="Todos",1,IF(R118=VALUE('03_DASHBOARD'!$B$5),1,0))*IF('03_DASHBOARD'!$D$5="Todos",1,IF(S118=VLOOKUP('03_DASHBOARD'!$D$5,Listas_Dashboard!$A$2:$B$13,2,FALSE()),1,0))*IF('03_DASHBOARD'!$F$5="Todos",1,IF(N118='03_DASHBOARD'!$F$5,1,0))*IF('03_DASHBOARD'!$H$5="Todos",1,IF(H118='03_DASHBOARD'!$H$5,1,0))*IF('03_DASHBOARD'!$J$5="Todos",1,IF(M118='03_DASHBOARD'!$J$5,1,0)))</f>
        <v>1</v>
      </c>
      <c r="U118">
        <f>IF(T118=1,IF(COUNTIFS($C$2:C118,C118,$T$2:T118,1)=1,1,0),0)</f>
        <v>1</v>
      </c>
    </row>
    <row r="119" spans="1:21" ht="15" customHeight="1">
      <c r="A119" t="s">
        <v>1102</v>
      </c>
      <c r="B119" s="2">
        <v>46139</v>
      </c>
      <c r="C119" t="s">
        <v>813</v>
      </c>
      <c r="D119" t="s">
        <v>814</v>
      </c>
      <c r="E119" t="s">
        <v>420</v>
      </c>
      <c r="F119" t="s">
        <v>366</v>
      </c>
      <c r="G119" t="s">
        <v>367</v>
      </c>
      <c r="H119" t="s">
        <v>176</v>
      </c>
      <c r="I119">
        <v>2</v>
      </c>
      <c r="J119" s="1">
        <v>89</v>
      </c>
      <c r="K119" s="8">
        <v>0</v>
      </c>
      <c r="L119" s="1">
        <v>178</v>
      </c>
      <c r="M119" t="s">
        <v>959</v>
      </c>
      <c r="N119" t="s">
        <v>404</v>
      </c>
      <c r="O119" t="s">
        <v>951</v>
      </c>
      <c r="P119" t="s">
        <v>1148</v>
      </c>
      <c r="R119">
        <f t="shared" si="6"/>
        <v>2026</v>
      </c>
      <c r="S119">
        <f t="shared" si="7"/>
        <v>4</v>
      </c>
      <c r="T119">
        <f>IF(OR(O119="Cancelada",O119="Devolvida"),0,IF('03_DASHBOARD'!$B$5="Todos",1,IF(R119=VALUE('03_DASHBOARD'!$B$5),1,0))*IF('03_DASHBOARD'!$D$5="Todos",1,IF(S119=VLOOKUP('03_DASHBOARD'!$D$5,Listas_Dashboard!$A$2:$B$13,2,FALSE()),1,0))*IF('03_DASHBOARD'!$F$5="Todos",1,IF(N119='03_DASHBOARD'!$F$5,1,0))*IF('03_DASHBOARD'!$H$5="Todos",1,IF(H119='03_DASHBOARD'!$H$5,1,0))*IF('03_DASHBOARD'!$J$5="Todos",1,IF(M119='03_DASHBOARD'!$J$5,1,0)))</f>
        <v>1</v>
      </c>
      <c r="U119">
        <f>IF(T119=1,IF(COUNTIFS($C$2:C119,C119,$T$2:T119,1)=1,1,0),0)</f>
        <v>1</v>
      </c>
    </row>
    <row r="120" spans="1:21" ht="15" customHeight="1">
      <c r="A120" t="s">
        <v>1103</v>
      </c>
      <c r="B120" s="2">
        <v>46140</v>
      </c>
      <c r="C120" t="s">
        <v>816</v>
      </c>
      <c r="D120" t="s">
        <v>732</v>
      </c>
      <c r="E120" t="s">
        <v>401</v>
      </c>
      <c r="F120" t="s">
        <v>369</v>
      </c>
      <c r="G120" t="s">
        <v>370</v>
      </c>
      <c r="H120" t="s">
        <v>176</v>
      </c>
      <c r="I120">
        <v>3</v>
      </c>
      <c r="J120" s="1">
        <v>25</v>
      </c>
      <c r="K120" s="8">
        <v>0</v>
      </c>
      <c r="L120" s="1">
        <v>75</v>
      </c>
      <c r="M120" t="s">
        <v>1017</v>
      </c>
      <c r="N120" t="s">
        <v>396</v>
      </c>
      <c r="O120" t="s">
        <v>951</v>
      </c>
      <c r="P120" t="s">
        <v>1148</v>
      </c>
      <c r="R120">
        <f t="shared" si="6"/>
        <v>2026</v>
      </c>
      <c r="S120">
        <f t="shared" si="7"/>
        <v>4</v>
      </c>
      <c r="T120">
        <f>IF(OR(O120="Cancelada",O120="Devolvida"),0,IF('03_DASHBOARD'!$B$5="Todos",1,IF(R120=VALUE('03_DASHBOARD'!$B$5),1,0))*IF('03_DASHBOARD'!$D$5="Todos",1,IF(S120=VLOOKUP('03_DASHBOARD'!$D$5,Listas_Dashboard!$A$2:$B$13,2,FALSE()),1,0))*IF('03_DASHBOARD'!$F$5="Todos",1,IF(N120='03_DASHBOARD'!$F$5,1,0))*IF('03_DASHBOARD'!$H$5="Todos",1,IF(H120='03_DASHBOARD'!$H$5,1,0))*IF('03_DASHBOARD'!$J$5="Todos",1,IF(M120='03_DASHBOARD'!$J$5,1,0)))</f>
        <v>1</v>
      </c>
      <c r="U120">
        <f>IF(T120=1,IF(COUNTIFS($C$2:C120,C120,$T$2:T120,1)=1,1,0),0)</f>
        <v>1</v>
      </c>
    </row>
    <row r="121" spans="1:21" ht="15" customHeight="1">
      <c r="A121" t="s">
        <v>1104</v>
      </c>
      <c r="B121" s="2">
        <v>46141</v>
      </c>
      <c r="C121" t="s">
        <v>818</v>
      </c>
      <c r="D121" t="s">
        <v>819</v>
      </c>
      <c r="E121" t="s">
        <v>470</v>
      </c>
      <c r="F121" t="s">
        <v>373</v>
      </c>
      <c r="G121" t="s">
        <v>374</v>
      </c>
      <c r="H121" t="s">
        <v>176</v>
      </c>
      <c r="I121">
        <v>2</v>
      </c>
      <c r="J121" s="1">
        <v>25</v>
      </c>
      <c r="K121" s="8">
        <v>0</v>
      </c>
      <c r="L121" s="1">
        <v>50</v>
      </c>
      <c r="M121" t="s">
        <v>1017</v>
      </c>
      <c r="N121" t="s">
        <v>396</v>
      </c>
      <c r="O121" t="s">
        <v>951</v>
      </c>
      <c r="P121" t="s">
        <v>1148</v>
      </c>
      <c r="R121">
        <f t="shared" si="6"/>
        <v>2026</v>
      </c>
      <c r="S121">
        <f t="shared" si="7"/>
        <v>4</v>
      </c>
      <c r="T121">
        <f>IF(OR(O121="Cancelada",O121="Devolvida"),0,IF('03_DASHBOARD'!$B$5="Todos",1,IF(R121=VALUE('03_DASHBOARD'!$B$5),1,0))*IF('03_DASHBOARD'!$D$5="Todos",1,IF(S121=VLOOKUP('03_DASHBOARD'!$D$5,Listas_Dashboard!$A$2:$B$13,2,FALSE()),1,0))*IF('03_DASHBOARD'!$F$5="Todos",1,IF(N121='03_DASHBOARD'!$F$5,1,0))*IF('03_DASHBOARD'!$H$5="Todos",1,IF(H121='03_DASHBOARD'!$H$5,1,0))*IF('03_DASHBOARD'!$J$5="Todos",1,IF(M121='03_DASHBOARD'!$J$5,1,0)))</f>
        <v>1</v>
      </c>
      <c r="U121">
        <f>IF(T121=1,IF(COUNTIFS($C$2:C121,C121,$T$2:T121,1)=1,1,0),0)</f>
        <v>1</v>
      </c>
    </row>
    <row r="122" spans="1:21" ht="15" customHeight="1">
      <c r="A122" t="s">
        <v>1105</v>
      </c>
      <c r="B122" s="2">
        <v>46142</v>
      </c>
      <c r="C122" t="s">
        <v>822</v>
      </c>
      <c r="D122" t="s">
        <v>823</v>
      </c>
      <c r="E122" t="s">
        <v>426</v>
      </c>
      <c r="F122" t="s">
        <v>376</v>
      </c>
      <c r="G122" t="s">
        <v>377</v>
      </c>
      <c r="H122" t="s">
        <v>13</v>
      </c>
      <c r="I122">
        <v>1</v>
      </c>
      <c r="J122" s="1">
        <v>699</v>
      </c>
      <c r="K122" s="8">
        <v>25</v>
      </c>
      <c r="L122" s="1">
        <v>524.25</v>
      </c>
      <c r="M122" t="s">
        <v>950</v>
      </c>
      <c r="N122" t="s">
        <v>404</v>
      </c>
      <c r="O122" t="s">
        <v>951</v>
      </c>
      <c r="P122" t="s">
        <v>1148</v>
      </c>
      <c r="R122">
        <f t="shared" si="6"/>
        <v>2026</v>
      </c>
      <c r="S122">
        <f t="shared" si="7"/>
        <v>4</v>
      </c>
      <c r="T122">
        <f>IF(OR(O122="Cancelada",O122="Devolvida"),0,IF('03_DASHBOARD'!$B$5="Todos",1,IF(R122=VALUE('03_DASHBOARD'!$B$5),1,0))*IF('03_DASHBOARD'!$D$5="Todos",1,IF(S122=VLOOKUP('03_DASHBOARD'!$D$5,Listas_Dashboard!$A$2:$B$13,2,FALSE()),1,0))*IF('03_DASHBOARD'!$F$5="Todos",1,IF(N122='03_DASHBOARD'!$F$5,1,0))*IF('03_DASHBOARD'!$H$5="Todos",1,IF(H122='03_DASHBOARD'!$H$5,1,0))*IF('03_DASHBOARD'!$J$5="Todos",1,IF(M122='03_DASHBOARD'!$J$5,1,0)))</f>
        <v>1</v>
      </c>
      <c r="U122">
        <f>IF(T122=1,IF(COUNTIFS($C$2:C122,C122,$T$2:T122,1)=1,1,0),0)</f>
        <v>1</v>
      </c>
    </row>
    <row r="123" spans="1:21" ht="15" customHeight="1">
      <c r="A123" t="s">
        <v>1106</v>
      </c>
      <c r="B123" s="2">
        <v>46143</v>
      </c>
      <c r="C123" t="s">
        <v>826</v>
      </c>
      <c r="D123" t="s">
        <v>827</v>
      </c>
      <c r="E123" t="s">
        <v>407</v>
      </c>
      <c r="F123" t="s">
        <v>379</v>
      </c>
      <c r="G123" t="s">
        <v>380</v>
      </c>
      <c r="H123" t="s">
        <v>13</v>
      </c>
      <c r="I123">
        <v>1</v>
      </c>
      <c r="J123" s="1">
        <v>699</v>
      </c>
      <c r="K123" s="8">
        <v>25</v>
      </c>
      <c r="L123" s="1">
        <v>524.25</v>
      </c>
      <c r="M123" t="s">
        <v>950</v>
      </c>
      <c r="N123" t="s">
        <v>404</v>
      </c>
      <c r="O123" t="s">
        <v>951</v>
      </c>
      <c r="P123" t="s">
        <v>1148</v>
      </c>
      <c r="R123">
        <f t="shared" si="6"/>
        <v>2026</v>
      </c>
      <c r="S123">
        <f t="shared" si="7"/>
        <v>5</v>
      </c>
      <c r="T123">
        <f>IF(OR(O123="Cancelada",O123="Devolvida"),0,IF('03_DASHBOARD'!$B$5="Todos",1,IF(R123=VALUE('03_DASHBOARD'!$B$5),1,0))*IF('03_DASHBOARD'!$D$5="Todos",1,IF(S123=VLOOKUP('03_DASHBOARD'!$D$5,Listas_Dashboard!$A$2:$B$13,2,FALSE()),1,0))*IF('03_DASHBOARD'!$F$5="Todos",1,IF(N123='03_DASHBOARD'!$F$5,1,0))*IF('03_DASHBOARD'!$H$5="Todos",1,IF(H123='03_DASHBOARD'!$H$5,1,0))*IF('03_DASHBOARD'!$J$5="Todos",1,IF(M123='03_DASHBOARD'!$J$5,1,0)))</f>
        <v>1</v>
      </c>
      <c r="U123">
        <f>IF(T123=1,IF(COUNTIFS($C$2:C123,C123,$T$2:T123,1)=1,1,0),0)</f>
        <v>1</v>
      </c>
    </row>
    <row r="124" spans="1:21" ht="15" customHeight="1">
      <c r="A124" t="s">
        <v>1107</v>
      </c>
      <c r="B124" s="2">
        <v>46144</v>
      </c>
      <c r="C124" t="s">
        <v>830</v>
      </c>
      <c r="D124" t="s">
        <v>831</v>
      </c>
      <c r="E124" t="s">
        <v>401</v>
      </c>
      <c r="F124" t="s">
        <v>381</v>
      </c>
      <c r="G124" t="s">
        <v>382</v>
      </c>
      <c r="H124" t="s">
        <v>45</v>
      </c>
      <c r="I124">
        <v>2</v>
      </c>
      <c r="J124" s="1">
        <v>35</v>
      </c>
      <c r="K124" s="8">
        <v>0</v>
      </c>
      <c r="L124" s="1">
        <v>70</v>
      </c>
      <c r="M124" t="s">
        <v>954</v>
      </c>
      <c r="N124" t="s">
        <v>536</v>
      </c>
      <c r="O124" t="s">
        <v>951</v>
      </c>
      <c r="P124" t="s">
        <v>1148</v>
      </c>
      <c r="R124">
        <f t="shared" si="6"/>
        <v>2026</v>
      </c>
      <c r="S124">
        <f t="shared" si="7"/>
        <v>5</v>
      </c>
      <c r="T124">
        <f>IF(OR(O124="Cancelada",O124="Devolvida"),0,IF('03_DASHBOARD'!$B$5="Todos",1,IF(R124=VALUE('03_DASHBOARD'!$B$5),1,0))*IF('03_DASHBOARD'!$D$5="Todos",1,IF(S124=VLOOKUP('03_DASHBOARD'!$D$5,Listas_Dashboard!$A$2:$B$13,2,FALSE()),1,0))*IF('03_DASHBOARD'!$F$5="Todos",1,IF(N124='03_DASHBOARD'!$F$5,1,0))*IF('03_DASHBOARD'!$H$5="Todos",1,IF(H124='03_DASHBOARD'!$H$5,1,0))*IF('03_DASHBOARD'!$J$5="Todos",1,IF(M124='03_DASHBOARD'!$J$5,1,0)))</f>
        <v>1</v>
      </c>
      <c r="U124">
        <f>IF(T124=1,IF(COUNTIFS($C$2:C124,C124,$T$2:T124,1)=1,1,0),0)</f>
        <v>1</v>
      </c>
    </row>
    <row r="125" spans="1:21" ht="15" customHeight="1">
      <c r="A125" t="s">
        <v>1108</v>
      </c>
      <c r="B125" s="2">
        <v>46145</v>
      </c>
      <c r="C125" t="s">
        <v>834</v>
      </c>
      <c r="D125" t="s">
        <v>835</v>
      </c>
      <c r="E125" t="s">
        <v>431</v>
      </c>
      <c r="F125" t="s">
        <v>383</v>
      </c>
      <c r="G125" t="s">
        <v>384</v>
      </c>
      <c r="H125" t="s">
        <v>171</v>
      </c>
      <c r="I125">
        <v>2</v>
      </c>
      <c r="J125" s="1">
        <v>35</v>
      </c>
      <c r="K125" s="8">
        <v>0</v>
      </c>
      <c r="L125" s="1">
        <v>70</v>
      </c>
      <c r="M125" t="s">
        <v>959</v>
      </c>
      <c r="N125" t="s">
        <v>411</v>
      </c>
      <c r="O125" t="s">
        <v>951</v>
      </c>
      <c r="P125" t="s">
        <v>1148</v>
      </c>
      <c r="R125">
        <f t="shared" si="6"/>
        <v>2026</v>
      </c>
      <c r="S125">
        <f t="shared" si="7"/>
        <v>5</v>
      </c>
      <c r="T125">
        <f>IF(OR(O125="Cancelada",O125="Devolvida"),0,IF('03_DASHBOARD'!$B$5="Todos",1,IF(R125=VALUE('03_DASHBOARD'!$B$5),1,0))*IF('03_DASHBOARD'!$D$5="Todos",1,IF(S125=VLOOKUP('03_DASHBOARD'!$D$5,Listas_Dashboard!$A$2:$B$13,2,FALSE()),1,0))*IF('03_DASHBOARD'!$F$5="Todos",1,IF(N125='03_DASHBOARD'!$F$5,1,0))*IF('03_DASHBOARD'!$H$5="Todos",1,IF(H125='03_DASHBOARD'!$H$5,1,0))*IF('03_DASHBOARD'!$J$5="Todos",1,IF(M125='03_DASHBOARD'!$J$5,1,0)))</f>
        <v>1</v>
      </c>
      <c r="U125">
        <f>IF(T125=1,IF(COUNTIFS($C$2:C125,C125,$T$2:T125,1)=1,1,0),0)</f>
        <v>1</v>
      </c>
    </row>
    <row r="126" spans="1:21" ht="15" customHeight="1">
      <c r="A126" t="s">
        <v>1109</v>
      </c>
      <c r="B126" s="2">
        <v>46146</v>
      </c>
      <c r="C126" t="s">
        <v>837</v>
      </c>
      <c r="D126" t="s">
        <v>838</v>
      </c>
      <c r="E126" t="s">
        <v>420</v>
      </c>
      <c r="F126" t="s">
        <v>386</v>
      </c>
      <c r="G126" t="s">
        <v>387</v>
      </c>
      <c r="H126" t="s">
        <v>388</v>
      </c>
      <c r="I126">
        <v>1</v>
      </c>
      <c r="J126" s="1">
        <v>499</v>
      </c>
      <c r="K126" s="8">
        <v>0</v>
      </c>
      <c r="L126" s="1">
        <v>499</v>
      </c>
      <c r="M126" t="s">
        <v>1015</v>
      </c>
      <c r="N126" t="s">
        <v>404</v>
      </c>
      <c r="O126" t="s">
        <v>951</v>
      </c>
      <c r="P126" t="s">
        <v>1148</v>
      </c>
      <c r="R126">
        <f t="shared" si="6"/>
        <v>2026</v>
      </c>
      <c r="S126">
        <f t="shared" si="7"/>
        <v>5</v>
      </c>
      <c r="T126">
        <v>0</v>
      </c>
      <c r="U126">
        <f>IF(T126=1,IF(COUNTIFS($C$2:C126,C126,$T$2:T126,1)=1,1,0),0)</f>
        <v>0</v>
      </c>
    </row>
    <row r="127" spans="1:21" ht="15" customHeight="1">
      <c r="A127" t="s">
        <v>1110</v>
      </c>
      <c r="B127" s="2">
        <v>46147</v>
      </c>
      <c r="C127" t="s">
        <v>840</v>
      </c>
      <c r="D127" t="s">
        <v>841</v>
      </c>
      <c r="E127" t="s">
        <v>414</v>
      </c>
      <c r="F127" t="s">
        <v>11</v>
      </c>
      <c r="G127" t="s">
        <v>12</v>
      </c>
      <c r="H127" t="s">
        <v>13</v>
      </c>
      <c r="I127">
        <v>2</v>
      </c>
      <c r="J127" s="1">
        <v>185</v>
      </c>
      <c r="K127" s="8">
        <v>0</v>
      </c>
      <c r="L127" s="1">
        <v>370</v>
      </c>
      <c r="M127" t="s">
        <v>1015</v>
      </c>
      <c r="N127" t="s">
        <v>404</v>
      </c>
      <c r="O127" t="s">
        <v>951</v>
      </c>
      <c r="P127" t="s">
        <v>1148</v>
      </c>
      <c r="Q127" t="s">
        <v>1111</v>
      </c>
      <c r="R127">
        <f t="shared" si="6"/>
        <v>2026</v>
      </c>
      <c r="S127">
        <f t="shared" si="7"/>
        <v>5</v>
      </c>
      <c r="T127">
        <f>IF(OR(O127="Cancelada",O127="Devolvida"),0,IF('03_DASHBOARD'!$B$5="Todos",1,IF(R127=VALUE('03_DASHBOARD'!$B$5),1,0))*IF('03_DASHBOARD'!$D$5="Todos",1,IF(S127=VLOOKUP('03_DASHBOARD'!$D$5,Listas_Dashboard!$A$2:$B$13,2,FALSE()),1,0))*IF('03_DASHBOARD'!$F$5="Todos",1,IF(N127='03_DASHBOARD'!$F$5,1,0))*IF('03_DASHBOARD'!$H$5="Todos",1,IF(H127='03_DASHBOARD'!$H$5,1,0))*IF('03_DASHBOARD'!$J$5="Todos",1,IF(M127='03_DASHBOARD'!$J$5,1,0)))</f>
        <v>1</v>
      </c>
      <c r="U127">
        <f>IF(T127=1,IF(COUNTIFS($C$2:C127,C127,$T$2:T127,1)=1,1,0),0)</f>
        <v>1</v>
      </c>
    </row>
    <row r="128" spans="1:21" ht="15" customHeight="1">
      <c r="A128" t="s">
        <v>1112</v>
      </c>
      <c r="B128" s="2">
        <v>46148</v>
      </c>
      <c r="C128" t="s">
        <v>843</v>
      </c>
      <c r="D128" t="s">
        <v>844</v>
      </c>
      <c r="E128" t="s">
        <v>479</v>
      </c>
      <c r="F128" t="s">
        <v>17</v>
      </c>
      <c r="G128" t="s">
        <v>18</v>
      </c>
      <c r="H128" t="s">
        <v>19</v>
      </c>
      <c r="I128">
        <v>1</v>
      </c>
      <c r="J128" s="1">
        <v>75</v>
      </c>
      <c r="K128" s="8">
        <v>0</v>
      </c>
      <c r="L128" s="1">
        <v>75</v>
      </c>
      <c r="M128" t="s">
        <v>1017</v>
      </c>
      <c r="N128" t="s">
        <v>536</v>
      </c>
      <c r="O128" t="s">
        <v>951</v>
      </c>
      <c r="P128" t="s">
        <v>1148</v>
      </c>
      <c r="R128">
        <f t="shared" si="6"/>
        <v>2026</v>
      </c>
      <c r="S128">
        <f t="shared" si="7"/>
        <v>5</v>
      </c>
      <c r="T128">
        <f>IF(OR(O128="Cancelada",O128="Devolvida"),0,IF('03_DASHBOARD'!$B$5="Todos",1,IF(R128=VALUE('03_DASHBOARD'!$B$5),1,0))*IF('03_DASHBOARD'!$D$5="Todos",1,IF(S128=VLOOKUP('03_DASHBOARD'!$D$5,Listas_Dashboard!$A$2:$B$13,2,FALSE()),1,0))*IF('03_DASHBOARD'!$F$5="Todos",1,IF(N128='03_DASHBOARD'!$F$5,1,0))*IF('03_DASHBOARD'!$H$5="Todos",1,IF(H128='03_DASHBOARD'!$H$5,1,0))*IF('03_DASHBOARD'!$J$5="Todos",1,IF(M128='03_DASHBOARD'!$J$5,1,0)))</f>
        <v>1</v>
      </c>
      <c r="U128">
        <f>IF(T128=1,IF(COUNTIFS($C$2:C128,C128,$T$2:T128,1)=1,1,0),0)</f>
        <v>1</v>
      </c>
    </row>
    <row r="129" spans="1:21" ht="15" customHeight="1">
      <c r="A129" t="s">
        <v>1113</v>
      </c>
      <c r="B129" s="2">
        <v>46149</v>
      </c>
      <c r="C129" t="s">
        <v>847</v>
      </c>
      <c r="D129" t="s">
        <v>844</v>
      </c>
      <c r="E129" t="s">
        <v>479</v>
      </c>
      <c r="F129" t="s">
        <v>22</v>
      </c>
      <c r="G129" t="s">
        <v>23</v>
      </c>
      <c r="H129" t="s">
        <v>19</v>
      </c>
      <c r="I129">
        <v>15</v>
      </c>
      <c r="J129" s="1">
        <v>24</v>
      </c>
      <c r="K129" s="8">
        <v>0</v>
      </c>
      <c r="L129" s="1">
        <v>360</v>
      </c>
      <c r="M129" t="s">
        <v>1017</v>
      </c>
      <c r="N129" t="s">
        <v>536</v>
      </c>
      <c r="O129" t="s">
        <v>951</v>
      </c>
      <c r="P129" t="s">
        <v>1148</v>
      </c>
      <c r="Q129" t="s">
        <v>1114</v>
      </c>
      <c r="R129">
        <f t="shared" si="6"/>
        <v>2026</v>
      </c>
      <c r="S129">
        <f t="shared" si="7"/>
        <v>5</v>
      </c>
      <c r="T129">
        <f>IF(OR(O129="Cancelada",O129="Devolvida"),0,IF('03_DASHBOARD'!$B$5="Todos",1,IF(R129=VALUE('03_DASHBOARD'!$B$5),1,0))*IF('03_DASHBOARD'!$D$5="Todos",1,IF(S129=VLOOKUP('03_DASHBOARD'!$D$5,Listas_Dashboard!$A$2:$B$13,2,FALSE()),1,0))*IF('03_DASHBOARD'!$F$5="Todos",1,IF(N129='03_DASHBOARD'!$F$5,1,0))*IF('03_DASHBOARD'!$H$5="Todos",1,IF(H129='03_DASHBOARD'!$H$5,1,0))*IF('03_DASHBOARD'!$J$5="Todos",1,IF(M129='03_DASHBOARD'!$J$5,1,0)))</f>
        <v>1</v>
      </c>
      <c r="U129">
        <f>IF(T129=1,IF(COUNTIFS($C$2:C129,C129,$T$2:T129,1)=1,1,0),0)</f>
        <v>1</v>
      </c>
    </row>
    <row r="130" spans="1:21" ht="15" customHeight="1">
      <c r="A130" t="s">
        <v>1115</v>
      </c>
      <c r="B130" s="2">
        <v>46150</v>
      </c>
      <c r="C130" t="s">
        <v>849</v>
      </c>
      <c r="D130" t="s">
        <v>850</v>
      </c>
      <c r="E130" t="s">
        <v>401</v>
      </c>
      <c r="F130" t="s">
        <v>26</v>
      </c>
      <c r="G130" t="s">
        <v>27</v>
      </c>
      <c r="H130" t="s">
        <v>13</v>
      </c>
      <c r="I130">
        <v>1</v>
      </c>
      <c r="J130" s="1">
        <v>850</v>
      </c>
      <c r="K130" s="8">
        <v>0</v>
      </c>
      <c r="L130" s="1">
        <v>850</v>
      </c>
      <c r="M130" t="s">
        <v>954</v>
      </c>
      <c r="N130" t="s">
        <v>404</v>
      </c>
      <c r="O130" t="s">
        <v>991</v>
      </c>
      <c r="P130" t="s">
        <v>1150</v>
      </c>
      <c r="R130">
        <f t="shared" ref="R130:R151" si="8">YEAR(B130)</f>
        <v>2026</v>
      </c>
      <c r="S130">
        <f t="shared" ref="S130:S151" si="9">MONTH(B130)</f>
        <v>5</v>
      </c>
      <c r="T130">
        <f>IF(OR(O130="Cancelada",O130="Devolvida"),0,IF('03_DASHBOARD'!$B$5="Todos",1,IF(R130=VALUE('03_DASHBOARD'!$B$5),1,0))*IF('03_DASHBOARD'!$D$5="Todos",1,IF(S130=VLOOKUP('03_DASHBOARD'!$D$5,Listas_Dashboard!$A$2:$B$13,2,FALSE()),1,0))*IF('03_DASHBOARD'!$F$5="Todos",1,IF(N130='03_DASHBOARD'!$F$5,1,0))*IF('03_DASHBOARD'!$H$5="Todos",1,IF(H130='03_DASHBOARD'!$H$5,1,0))*IF('03_DASHBOARD'!$J$5="Todos",1,IF(M130='03_DASHBOARD'!$J$5,1,0)))</f>
        <v>1</v>
      </c>
      <c r="U130">
        <f>IF(T130=1,IF(COUNTIFS($C$2:C130,C130,$T$2:T130,1)=1,1,0),0)</f>
        <v>1</v>
      </c>
    </row>
    <row r="131" spans="1:21" ht="15" customHeight="1">
      <c r="A131" t="s">
        <v>1116</v>
      </c>
      <c r="B131" s="2">
        <v>46151</v>
      </c>
      <c r="C131" t="s">
        <v>852</v>
      </c>
      <c r="D131" t="s">
        <v>853</v>
      </c>
      <c r="E131" t="s">
        <v>551</v>
      </c>
      <c r="F131" t="s">
        <v>29</v>
      </c>
      <c r="G131" t="s">
        <v>30</v>
      </c>
      <c r="H131" t="s">
        <v>19</v>
      </c>
      <c r="I131">
        <v>2</v>
      </c>
      <c r="J131" s="1">
        <v>60</v>
      </c>
      <c r="K131" s="8">
        <v>0</v>
      </c>
      <c r="L131" s="1">
        <v>120</v>
      </c>
      <c r="M131" t="s">
        <v>954</v>
      </c>
      <c r="N131" t="s">
        <v>404</v>
      </c>
      <c r="O131" t="s">
        <v>951</v>
      </c>
      <c r="P131" t="s">
        <v>1148</v>
      </c>
      <c r="R131">
        <f t="shared" si="8"/>
        <v>2026</v>
      </c>
      <c r="S131">
        <f t="shared" si="9"/>
        <v>5</v>
      </c>
      <c r="T131">
        <f>IF(OR(O131="Cancelada",O131="Devolvida"),0,IF('03_DASHBOARD'!$B$5="Todos",1,IF(R131=VALUE('03_DASHBOARD'!$B$5),1,0))*IF('03_DASHBOARD'!$D$5="Todos",1,IF(S131=VLOOKUP('03_DASHBOARD'!$D$5,Listas_Dashboard!$A$2:$B$13,2,FALSE()),1,0))*IF('03_DASHBOARD'!$F$5="Todos",1,IF(N131='03_DASHBOARD'!$F$5,1,0))*IF('03_DASHBOARD'!$H$5="Todos",1,IF(H131='03_DASHBOARD'!$H$5,1,0))*IF('03_DASHBOARD'!$J$5="Todos",1,IF(M131='03_DASHBOARD'!$J$5,1,0)))</f>
        <v>1</v>
      </c>
      <c r="U131">
        <f>IF(T131=1,IF(COUNTIFS($C$2:C131,C131,$T$2:T131,1)=1,1,0),0)</f>
        <v>1</v>
      </c>
    </row>
    <row r="132" spans="1:21" ht="15" customHeight="1">
      <c r="A132" t="s">
        <v>1117</v>
      </c>
      <c r="B132" s="2">
        <v>46152</v>
      </c>
      <c r="C132" t="s">
        <v>854</v>
      </c>
      <c r="D132" t="s">
        <v>855</v>
      </c>
      <c r="E132" t="s">
        <v>407</v>
      </c>
      <c r="F132" t="s">
        <v>33</v>
      </c>
      <c r="G132" t="s">
        <v>34</v>
      </c>
      <c r="H132" t="s">
        <v>35</v>
      </c>
      <c r="I132">
        <v>3</v>
      </c>
      <c r="J132" s="1">
        <v>120</v>
      </c>
      <c r="K132" s="8">
        <v>5</v>
      </c>
      <c r="L132" s="1">
        <v>342</v>
      </c>
      <c r="M132" t="s">
        <v>950</v>
      </c>
      <c r="N132" t="s">
        <v>404</v>
      </c>
      <c r="O132" t="s">
        <v>951</v>
      </c>
      <c r="P132" t="s">
        <v>1148</v>
      </c>
      <c r="R132">
        <f t="shared" si="8"/>
        <v>2026</v>
      </c>
      <c r="S132">
        <f t="shared" si="9"/>
        <v>5</v>
      </c>
      <c r="T132">
        <f>IF(OR(O132="Cancelada",O132="Devolvida"),0,IF('03_DASHBOARD'!$B$5="Todos",1,IF(R132=VALUE('03_DASHBOARD'!$B$5),1,0))*IF('03_DASHBOARD'!$D$5="Todos",1,IF(S132=VLOOKUP('03_DASHBOARD'!$D$5,Listas_Dashboard!$A$2:$B$13,2,FALSE()),1,0))*IF('03_DASHBOARD'!$F$5="Todos",1,IF(N132='03_DASHBOARD'!$F$5,1,0))*IF('03_DASHBOARD'!$H$5="Todos",1,IF(H132='03_DASHBOARD'!$H$5,1,0))*IF('03_DASHBOARD'!$J$5="Todos",1,IF(M132='03_DASHBOARD'!$J$5,1,0)))</f>
        <v>1</v>
      </c>
      <c r="U132">
        <f>IF(T132=1,IF(COUNTIFS($C$2:C132,C132,$T$2:T132,1)=1,1,0),0)</f>
        <v>1</v>
      </c>
    </row>
    <row r="133" spans="1:21" ht="15" customHeight="1">
      <c r="A133" t="s">
        <v>1118</v>
      </c>
      <c r="B133" s="2">
        <v>46153</v>
      </c>
      <c r="C133" t="s">
        <v>857</v>
      </c>
      <c r="D133" t="s">
        <v>858</v>
      </c>
      <c r="E133" t="s">
        <v>401</v>
      </c>
      <c r="F133" t="s">
        <v>38</v>
      </c>
      <c r="G133" t="s">
        <v>39</v>
      </c>
      <c r="H133" t="s">
        <v>35</v>
      </c>
      <c r="I133">
        <v>2</v>
      </c>
      <c r="J133" s="1">
        <v>120</v>
      </c>
      <c r="K133" s="8">
        <v>5</v>
      </c>
      <c r="L133" s="1">
        <v>228</v>
      </c>
      <c r="M133" t="s">
        <v>950</v>
      </c>
      <c r="N133" t="s">
        <v>404</v>
      </c>
      <c r="O133" t="s">
        <v>951</v>
      </c>
      <c r="P133" t="s">
        <v>1148</v>
      </c>
      <c r="R133">
        <f t="shared" si="8"/>
        <v>2026</v>
      </c>
      <c r="S133">
        <f t="shared" si="9"/>
        <v>5</v>
      </c>
      <c r="T133">
        <f>IF(OR(O133="Cancelada",O133="Devolvida"),0,IF('03_DASHBOARD'!$B$5="Todos",1,IF(R133=VALUE('03_DASHBOARD'!$B$5),1,0))*IF('03_DASHBOARD'!$D$5="Todos",1,IF(S133=VLOOKUP('03_DASHBOARD'!$D$5,Listas_Dashboard!$A$2:$B$13,2,FALSE()),1,0))*IF('03_DASHBOARD'!$F$5="Todos",1,IF(N133='03_DASHBOARD'!$F$5,1,0))*IF('03_DASHBOARD'!$H$5="Todos",1,IF(H133='03_DASHBOARD'!$H$5,1,0))*IF('03_DASHBOARD'!$J$5="Todos",1,IF(M133='03_DASHBOARD'!$J$5,1,0)))</f>
        <v>1</v>
      </c>
      <c r="U133">
        <f>IF(T133=1,IF(COUNTIFS($C$2:C133,C133,$T$2:T133,1)=1,1,0),0)</f>
        <v>1</v>
      </c>
    </row>
    <row r="134" spans="1:21" ht="15" customHeight="1">
      <c r="A134" t="s">
        <v>1119</v>
      </c>
      <c r="B134" s="2">
        <v>46154</v>
      </c>
      <c r="C134" t="s">
        <v>861</v>
      </c>
      <c r="D134" t="s">
        <v>862</v>
      </c>
      <c r="E134" t="s">
        <v>420</v>
      </c>
      <c r="F134" t="s">
        <v>41</v>
      </c>
      <c r="G134" t="s">
        <v>42</v>
      </c>
      <c r="H134" t="s">
        <v>35</v>
      </c>
      <c r="I134">
        <v>2</v>
      </c>
      <c r="J134" s="1">
        <v>119.99</v>
      </c>
      <c r="K134" s="8">
        <v>0</v>
      </c>
      <c r="L134" s="1">
        <v>239.98</v>
      </c>
      <c r="M134" t="s">
        <v>954</v>
      </c>
      <c r="N134" t="s">
        <v>536</v>
      </c>
      <c r="O134" t="s">
        <v>951</v>
      </c>
      <c r="P134" t="s">
        <v>1148</v>
      </c>
      <c r="R134">
        <f t="shared" si="8"/>
        <v>2026</v>
      </c>
      <c r="S134">
        <f t="shared" si="9"/>
        <v>5</v>
      </c>
      <c r="T134">
        <f>IF(OR(O134="Cancelada",O134="Devolvida"),0,IF('03_DASHBOARD'!$B$5="Todos",1,IF(R134=VALUE('03_DASHBOARD'!$B$5),1,0))*IF('03_DASHBOARD'!$D$5="Todos",1,IF(S134=VLOOKUP('03_DASHBOARD'!$D$5,Listas_Dashboard!$A$2:$B$13,2,FALSE()),1,0))*IF('03_DASHBOARD'!$F$5="Todos",1,IF(N134='03_DASHBOARD'!$F$5,1,0))*IF('03_DASHBOARD'!$H$5="Todos",1,IF(H134='03_DASHBOARD'!$H$5,1,0))*IF('03_DASHBOARD'!$J$5="Todos",1,IF(M134='03_DASHBOARD'!$J$5,1,0)))</f>
        <v>1</v>
      </c>
      <c r="U134">
        <f>IF(T134=1,IF(COUNTIFS($C$2:C134,C134,$T$2:T134,1)=1,1,0),0)</f>
        <v>1</v>
      </c>
    </row>
    <row r="135" spans="1:21" ht="15" customHeight="1">
      <c r="A135" t="s">
        <v>1120</v>
      </c>
      <c r="B135" s="2">
        <v>46155</v>
      </c>
      <c r="C135" t="s">
        <v>864</v>
      </c>
      <c r="D135" t="s">
        <v>865</v>
      </c>
      <c r="E135" t="s">
        <v>414</v>
      </c>
      <c r="F135" t="s">
        <v>43</v>
      </c>
      <c r="G135" t="s">
        <v>44</v>
      </c>
      <c r="H135" t="s">
        <v>45</v>
      </c>
      <c r="I135">
        <v>1</v>
      </c>
      <c r="J135" s="1">
        <v>210</v>
      </c>
      <c r="K135" s="8">
        <v>0</v>
      </c>
      <c r="L135" s="1">
        <v>210</v>
      </c>
      <c r="M135" t="s">
        <v>959</v>
      </c>
      <c r="N135" t="s">
        <v>404</v>
      </c>
      <c r="O135" t="s">
        <v>951</v>
      </c>
      <c r="P135" t="s">
        <v>1148</v>
      </c>
      <c r="R135">
        <f t="shared" si="8"/>
        <v>2026</v>
      </c>
      <c r="S135">
        <f t="shared" si="9"/>
        <v>5</v>
      </c>
      <c r="T135">
        <f>IF(OR(O135="Cancelada",O135="Devolvida"),0,IF('03_DASHBOARD'!$B$5="Todos",1,IF(R135=VALUE('03_DASHBOARD'!$B$5),1,0))*IF('03_DASHBOARD'!$D$5="Todos",1,IF(S135=VLOOKUP('03_DASHBOARD'!$D$5,Listas_Dashboard!$A$2:$B$13,2,FALSE()),1,0))*IF('03_DASHBOARD'!$F$5="Todos",1,IF(N135='03_DASHBOARD'!$F$5,1,0))*IF('03_DASHBOARD'!$H$5="Todos",1,IF(H135='03_DASHBOARD'!$H$5,1,0))*IF('03_DASHBOARD'!$J$5="Todos",1,IF(M135='03_DASHBOARD'!$J$5,1,0)))</f>
        <v>1</v>
      </c>
      <c r="U135">
        <f>IF(T135=1,IF(COUNTIFS($C$2:C135,C135,$T$2:T135,1)=1,1,0),0)</f>
        <v>1</v>
      </c>
    </row>
    <row r="136" spans="1:21" ht="15" customHeight="1">
      <c r="A136" t="s">
        <v>1121</v>
      </c>
      <c r="B136" s="2">
        <v>46156</v>
      </c>
      <c r="C136" t="s">
        <v>867</v>
      </c>
      <c r="D136" t="s">
        <v>868</v>
      </c>
      <c r="E136" t="s">
        <v>470</v>
      </c>
      <c r="F136" t="s">
        <v>48</v>
      </c>
      <c r="G136" t="s">
        <v>49</v>
      </c>
      <c r="H136" t="s">
        <v>45</v>
      </c>
      <c r="I136">
        <v>8</v>
      </c>
      <c r="J136" s="1">
        <v>35</v>
      </c>
      <c r="K136" s="8">
        <v>20</v>
      </c>
      <c r="L136" s="1">
        <v>224</v>
      </c>
      <c r="M136" t="s">
        <v>1019</v>
      </c>
      <c r="N136" t="s">
        <v>411</v>
      </c>
      <c r="O136" t="s">
        <v>951</v>
      </c>
      <c r="P136" t="s">
        <v>1148</v>
      </c>
      <c r="R136">
        <f t="shared" si="8"/>
        <v>2026</v>
      </c>
      <c r="S136">
        <f t="shared" si="9"/>
        <v>5</v>
      </c>
      <c r="T136">
        <f>IF(OR(O136="Cancelada",O136="Devolvida"),0,IF('03_DASHBOARD'!$B$5="Todos",1,IF(R136=VALUE('03_DASHBOARD'!$B$5),1,0))*IF('03_DASHBOARD'!$D$5="Todos",1,IF(S136=VLOOKUP('03_DASHBOARD'!$D$5,Listas_Dashboard!$A$2:$B$13,2,FALSE()),1,0))*IF('03_DASHBOARD'!$F$5="Todos",1,IF(N136='03_DASHBOARD'!$F$5,1,0))*IF('03_DASHBOARD'!$H$5="Todos",1,IF(H136='03_DASHBOARD'!$H$5,1,0))*IF('03_DASHBOARD'!$J$5="Todos",1,IF(M136='03_DASHBOARD'!$J$5,1,0)))</f>
        <v>1</v>
      </c>
      <c r="U136">
        <f>IF(T136=1,IF(COUNTIFS($C$2:C136,C136,$T$2:T136,1)=1,1,0),0)</f>
        <v>1</v>
      </c>
    </row>
    <row r="137" spans="1:21" ht="15" customHeight="1">
      <c r="A137" t="s">
        <v>1122</v>
      </c>
      <c r="B137" s="2">
        <v>46157</v>
      </c>
      <c r="C137" t="s">
        <v>870</v>
      </c>
      <c r="D137" t="s">
        <v>871</v>
      </c>
      <c r="E137" t="s">
        <v>401</v>
      </c>
      <c r="F137" t="s">
        <v>51</v>
      </c>
      <c r="G137" t="s">
        <v>52</v>
      </c>
      <c r="H137" t="s">
        <v>53</v>
      </c>
      <c r="I137">
        <v>2</v>
      </c>
      <c r="J137" s="1">
        <v>95</v>
      </c>
      <c r="K137" s="8">
        <v>0</v>
      </c>
      <c r="L137" s="1">
        <v>190</v>
      </c>
      <c r="M137" t="s">
        <v>954</v>
      </c>
      <c r="N137" t="s">
        <v>404</v>
      </c>
      <c r="O137" t="s">
        <v>951</v>
      </c>
      <c r="P137" t="s">
        <v>1148</v>
      </c>
      <c r="R137">
        <f t="shared" si="8"/>
        <v>2026</v>
      </c>
      <c r="S137">
        <f t="shared" si="9"/>
        <v>5</v>
      </c>
      <c r="T137">
        <f>IF(OR(O137="Cancelada",O137="Devolvida"),0,IF('03_DASHBOARD'!$B$5="Todos",1,IF(R137=VALUE('03_DASHBOARD'!$B$5),1,0))*IF('03_DASHBOARD'!$D$5="Todos",1,IF(S137=VLOOKUP('03_DASHBOARD'!$D$5,Listas_Dashboard!$A$2:$B$13,2,FALSE()),1,0))*IF('03_DASHBOARD'!$F$5="Todos",1,IF(N137='03_DASHBOARD'!$F$5,1,0))*IF('03_DASHBOARD'!$H$5="Todos",1,IF(H137='03_DASHBOARD'!$H$5,1,0))*IF('03_DASHBOARD'!$J$5="Todos",1,IF(M137='03_DASHBOARD'!$J$5,1,0)))</f>
        <v>1</v>
      </c>
      <c r="U137">
        <f>IF(T137=1,IF(COUNTIFS($C$2:C137,C137,$T$2:T137,1)=1,1,0),0)</f>
        <v>1</v>
      </c>
    </row>
    <row r="138" spans="1:21" ht="15" customHeight="1">
      <c r="A138" t="s">
        <v>1123</v>
      </c>
      <c r="B138" s="2">
        <v>46158</v>
      </c>
      <c r="C138" t="s">
        <v>873</v>
      </c>
      <c r="D138" t="s">
        <v>874</v>
      </c>
      <c r="E138" t="s">
        <v>407</v>
      </c>
      <c r="F138" t="s">
        <v>56</v>
      </c>
      <c r="G138" t="s">
        <v>57</v>
      </c>
      <c r="H138" t="s">
        <v>53</v>
      </c>
      <c r="I138">
        <v>1</v>
      </c>
      <c r="J138" s="1">
        <v>70</v>
      </c>
      <c r="K138" s="8">
        <v>0</v>
      </c>
      <c r="L138" s="1">
        <v>70</v>
      </c>
      <c r="M138" t="s">
        <v>969</v>
      </c>
      <c r="N138" t="s">
        <v>536</v>
      </c>
      <c r="O138" t="s">
        <v>951</v>
      </c>
      <c r="P138" t="s">
        <v>1148</v>
      </c>
      <c r="R138">
        <f t="shared" si="8"/>
        <v>2026</v>
      </c>
      <c r="S138">
        <f t="shared" si="9"/>
        <v>5</v>
      </c>
      <c r="T138">
        <f>IF(OR(O138="Cancelada",O138="Devolvida"),0,IF('03_DASHBOARD'!$B$5="Todos",1,IF(R138=VALUE('03_DASHBOARD'!$B$5),1,0))*IF('03_DASHBOARD'!$D$5="Todos",1,IF(S138=VLOOKUP('03_DASHBOARD'!$D$5,Listas_Dashboard!$A$2:$B$13,2,FALSE()),1,0))*IF('03_DASHBOARD'!$F$5="Todos",1,IF(N138='03_DASHBOARD'!$F$5,1,0))*IF('03_DASHBOARD'!$H$5="Todos",1,IF(H138='03_DASHBOARD'!$H$5,1,0))*IF('03_DASHBOARD'!$J$5="Todos",1,IF(M138='03_DASHBOARD'!$J$5,1,0)))</f>
        <v>1</v>
      </c>
      <c r="U138">
        <f>IF(T138=1,IF(COUNTIFS($C$2:C138,C138,$T$2:T138,1)=1,1,0),0)</f>
        <v>1</v>
      </c>
    </row>
    <row r="139" spans="1:21" ht="15" customHeight="1">
      <c r="A139" t="s">
        <v>1124</v>
      </c>
      <c r="B139" s="2">
        <v>46159</v>
      </c>
      <c r="C139" t="s">
        <v>876</v>
      </c>
      <c r="D139" t="s">
        <v>877</v>
      </c>
      <c r="E139" t="s">
        <v>426</v>
      </c>
      <c r="F139" t="s">
        <v>59</v>
      </c>
      <c r="G139" t="s">
        <v>60</v>
      </c>
      <c r="H139" t="s">
        <v>61</v>
      </c>
      <c r="I139">
        <v>25</v>
      </c>
      <c r="J139" s="1">
        <v>12</v>
      </c>
      <c r="K139" s="8">
        <v>0</v>
      </c>
      <c r="L139" s="1">
        <v>300</v>
      </c>
      <c r="M139" t="s">
        <v>959</v>
      </c>
      <c r="N139" t="s">
        <v>411</v>
      </c>
      <c r="O139" t="s">
        <v>951</v>
      </c>
      <c r="P139" t="s">
        <v>1148</v>
      </c>
      <c r="R139">
        <f t="shared" si="8"/>
        <v>2026</v>
      </c>
      <c r="S139">
        <f t="shared" si="9"/>
        <v>5</v>
      </c>
      <c r="T139">
        <f>IF(OR(O139="Cancelada",O139="Devolvida"),0,IF('03_DASHBOARD'!$B$5="Todos",1,IF(R139=VALUE('03_DASHBOARD'!$B$5),1,0))*IF('03_DASHBOARD'!$D$5="Todos",1,IF(S139=VLOOKUP('03_DASHBOARD'!$D$5,Listas_Dashboard!$A$2:$B$13,2,FALSE()),1,0))*IF('03_DASHBOARD'!$F$5="Todos",1,IF(N139='03_DASHBOARD'!$F$5,1,0))*IF('03_DASHBOARD'!$H$5="Todos",1,IF(H139='03_DASHBOARD'!$H$5,1,0))*IF('03_DASHBOARD'!$J$5="Todos",1,IF(M139='03_DASHBOARD'!$J$5,1,0)))</f>
        <v>1</v>
      </c>
      <c r="U139">
        <f>IF(T139=1,IF(COUNTIFS($C$2:C139,C139,$T$2:T139,1)=1,1,0),0)</f>
        <v>1</v>
      </c>
    </row>
    <row r="140" spans="1:21" ht="15" customHeight="1">
      <c r="A140" t="s">
        <v>1125</v>
      </c>
      <c r="B140" s="2">
        <v>46160</v>
      </c>
      <c r="C140" t="s">
        <v>879</v>
      </c>
      <c r="D140" t="s">
        <v>400</v>
      </c>
      <c r="E140" t="s">
        <v>401</v>
      </c>
      <c r="F140" t="s">
        <v>64</v>
      </c>
      <c r="G140" t="s">
        <v>65</v>
      </c>
      <c r="H140" t="s">
        <v>61</v>
      </c>
      <c r="I140">
        <v>25</v>
      </c>
      <c r="J140" s="1">
        <v>12</v>
      </c>
      <c r="K140" s="8">
        <v>0</v>
      </c>
      <c r="L140" s="1">
        <v>300</v>
      </c>
      <c r="M140" t="s">
        <v>959</v>
      </c>
      <c r="N140" t="s">
        <v>411</v>
      </c>
      <c r="O140" t="s">
        <v>951</v>
      </c>
      <c r="P140" t="s">
        <v>1148</v>
      </c>
      <c r="Q140" t="s">
        <v>1126</v>
      </c>
      <c r="R140">
        <f t="shared" si="8"/>
        <v>2026</v>
      </c>
      <c r="S140">
        <f t="shared" si="9"/>
        <v>5</v>
      </c>
      <c r="T140">
        <f>IF(OR(O140="Cancelada",O140="Devolvida"),0,IF('03_DASHBOARD'!$B$5="Todos",1,IF(R140=VALUE('03_DASHBOARD'!$B$5),1,0))*IF('03_DASHBOARD'!$D$5="Todos",1,IF(S140=VLOOKUP('03_DASHBOARD'!$D$5,Listas_Dashboard!$A$2:$B$13,2,FALSE()),1,0))*IF('03_DASHBOARD'!$F$5="Todos",1,IF(N140='03_DASHBOARD'!$F$5,1,0))*IF('03_DASHBOARD'!$H$5="Todos",1,IF(H140='03_DASHBOARD'!$H$5,1,0))*IF('03_DASHBOARD'!$J$5="Todos",1,IF(M140='03_DASHBOARD'!$J$5,1,0)))</f>
        <v>1</v>
      </c>
      <c r="U140">
        <f>IF(T140=1,IF(COUNTIFS($C$2:C140,C140,$T$2:T140,1)=1,1,0),0)</f>
        <v>1</v>
      </c>
    </row>
    <row r="141" spans="1:21" ht="15" customHeight="1">
      <c r="A141" t="s">
        <v>1127</v>
      </c>
      <c r="B141" s="2">
        <v>46161</v>
      </c>
      <c r="C141" t="s">
        <v>880</v>
      </c>
      <c r="D141" t="s">
        <v>881</v>
      </c>
      <c r="E141" t="s">
        <v>420</v>
      </c>
      <c r="F141" t="s">
        <v>68</v>
      </c>
      <c r="G141" t="s">
        <v>69</v>
      </c>
      <c r="H141" t="s">
        <v>35</v>
      </c>
      <c r="I141">
        <v>5</v>
      </c>
      <c r="J141" s="1">
        <v>15</v>
      </c>
      <c r="K141" s="8">
        <v>0</v>
      </c>
      <c r="L141" s="1">
        <v>75</v>
      </c>
      <c r="M141" t="s">
        <v>954</v>
      </c>
      <c r="N141" t="s">
        <v>404</v>
      </c>
      <c r="O141" t="s">
        <v>951</v>
      </c>
      <c r="P141" t="s">
        <v>1148</v>
      </c>
      <c r="R141">
        <f t="shared" si="8"/>
        <v>2026</v>
      </c>
      <c r="S141">
        <f t="shared" si="9"/>
        <v>5</v>
      </c>
      <c r="T141">
        <f>IF(OR(O141="Cancelada",O141="Devolvida"),0,IF('03_DASHBOARD'!$B$5="Todos",1,IF(R141=VALUE('03_DASHBOARD'!$B$5),1,0))*IF('03_DASHBOARD'!$D$5="Todos",1,IF(S141=VLOOKUP('03_DASHBOARD'!$D$5,Listas_Dashboard!$A$2:$B$13,2,FALSE()),1,0))*IF('03_DASHBOARD'!$F$5="Todos",1,IF(N141='03_DASHBOARD'!$F$5,1,0))*IF('03_DASHBOARD'!$H$5="Todos",1,IF(H141='03_DASHBOARD'!$H$5,1,0))*IF('03_DASHBOARD'!$J$5="Todos",1,IF(M141='03_DASHBOARD'!$J$5,1,0)))</f>
        <v>1</v>
      </c>
      <c r="U141">
        <f>IF(T141=1,IF(COUNTIFS($C$2:C141,C141,$T$2:T141,1)=1,1,0),0)</f>
        <v>1</v>
      </c>
    </row>
    <row r="142" spans="1:21" ht="15" customHeight="1">
      <c r="A142" t="s">
        <v>1128</v>
      </c>
      <c r="B142" s="2">
        <v>46162</v>
      </c>
      <c r="C142" t="s">
        <v>883</v>
      </c>
      <c r="D142" t="s">
        <v>884</v>
      </c>
      <c r="E142" t="s">
        <v>431</v>
      </c>
      <c r="F142" t="s">
        <v>73</v>
      </c>
      <c r="G142" t="s">
        <v>74</v>
      </c>
      <c r="H142" t="s">
        <v>35</v>
      </c>
      <c r="I142">
        <v>5</v>
      </c>
      <c r="J142" s="1">
        <v>15</v>
      </c>
      <c r="K142" s="8">
        <v>0</v>
      </c>
      <c r="L142" s="1">
        <v>75</v>
      </c>
      <c r="M142" t="s">
        <v>954</v>
      </c>
      <c r="N142" t="s">
        <v>404</v>
      </c>
      <c r="O142" t="s">
        <v>951</v>
      </c>
      <c r="P142" t="s">
        <v>1148</v>
      </c>
      <c r="Q142" t="s">
        <v>1129</v>
      </c>
      <c r="R142">
        <f t="shared" si="8"/>
        <v>2026</v>
      </c>
      <c r="S142">
        <f t="shared" si="9"/>
        <v>5</v>
      </c>
      <c r="T142">
        <f>IF(OR(O142="Cancelada",O142="Devolvida"),0,IF('03_DASHBOARD'!$B$5="Todos",1,IF(R142=VALUE('03_DASHBOARD'!$B$5),1,0))*IF('03_DASHBOARD'!$D$5="Todos",1,IF(S142=VLOOKUP('03_DASHBOARD'!$D$5,Listas_Dashboard!$A$2:$B$13,2,FALSE()),1,0))*IF('03_DASHBOARD'!$F$5="Todos",1,IF(N142='03_DASHBOARD'!$F$5,1,0))*IF('03_DASHBOARD'!$H$5="Todos",1,IF(H142='03_DASHBOARD'!$H$5,1,0))*IF('03_DASHBOARD'!$J$5="Todos",1,IF(M142='03_DASHBOARD'!$J$5,1,0)))</f>
        <v>1</v>
      </c>
      <c r="U142">
        <f>IF(T142=1,IF(COUNTIFS($C$2:C142,C142,$T$2:T142,1)=1,1,0),0)</f>
        <v>1</v>
      </c>
    </row>
    <row r="143" spans="1:21" ht="15" customHeight="1">
      <c r="A143" t="s">
        <v>1130</v>
      </c>
      <c r="B143" s="2">
        <v>46163</v>
      </c>
      <c r="C143" t="s">
        <v>886</v>
      </c>
      <c r="D143" t="s">
        <v>648</v>
      </c>
      <c r="E143" t="s">
        <v>401</v>
      </c>
      <c r="F143" t="s">
        <v>76</v>
      </c>
      <c r="G143" t="s">
        <v>77</v>
      </c>
      <c r="H143" t="s">
        <v>19</v>
      </c>
      <c r="I143">
        <v>2</v>
      </c>
      <c r="J143" s="1">
        <v>55</v>
      </c>
      <c r="K143" s="8">
        <v>0</v>
      </c>
      <c r="L143" s="1">
        <v>110</v>
      </c>
      <c r="M143" t="s">
        <v>950</v>
      </c>
      <c r="N143" t="s">
        <v>536</v>
      </c>
      <c r="O143" t="s">
        <v>951</v>
      </c>
      <c r="P143" t="s">
        <v>1148</v>
      </c>
      <c r="R143">
        <f t="shared" si="8"/>
        <v>2026</v>
      </c>
      <c r="S143">
        <f t="shared" si="9"/>
        <v>5</v>
      </c>
      <c r="T143">
        <f>IF(OR(O143="Cancelada",O143="Devolvida"),0,IF('03_DASHBOARD'!$B$5="Todos",1,IF(R143=VALUE('03_DASHBOARD'!$B$5),1,0))*IF('03_DASHBOARD'!$D$5="Todos",1,IF(S143=VLOOKUP('03_DASHBOARD'!$D$5,Listas_Dashboard!$A$2:$B$13,2,FALSE()),1,0))*IF('03_DASHBOARD'!$F$5="Todos",1,IF(N143='03_DASHBOARD'!$F$5,1,0))*IF('03_DASHBOARD'!$H$5="Todos",1,IF(H143='03_DASHBOARD'!$H$5,1,0))*IF('03_DASHBOARD'!$J$5="Todos",1,IF(M143='03_DASHBOARD'!$J$5,1,0)))</f>
        <v>1</v>
      </c>
      <c r="U143">
        <f>IF(T143=1,IF(COUNTIFS($C$2:C143,C143,$T$2:T143,1)=1,1,0),0)</f>
        <v>1</v>
      </c>
    </row>
    <row r="144" spans="1:21" ht="15" customHeight="1">
      <c r="A144" t="s">
        <v>1131</v>
      </c>
      <c r="B144" s="2">
        <v>46164</v>
      </c>
      <c r="C144" t="s">
        <v>888</v>
      </c>
      <c r="D144" t="s">
        <v>889</v>
      </c>
      <c r="E144" t="s">
        <v>407</v>
      </c>
      <c r="F144" t="s">
        <v>80</v>
      </c>
      <c r="G144" t="s">
        <v>81</v>
      </c>
      <c r="H144" t="s">
        <v>82</v>
      </c>
      <c r="I144">
        <v>1</v>
      </c>
      <c r="J144" s="1">
        <v>80</v>
      </c>
      <c r="K144" s="8">
        <v>0</v>
      </c>
      <c r="L144" s="1">
        <v>80</v>
      </c>
      <c r="M144" t="s">
        <v>1017</v>
      </c>
      <c r="N144" t="s">
        <v>404</v>
      </c>
      <c r="O144" t="s">
        <v>951</v>
      </c>
      <c r="P144" t="s">
        <v>1148</v>
      </c>
      <c r="R144">
        <f t="shared" si="8"/>
        <v>2026</v>
      </c>
      <c r="S144">
        <f t="shared" si="9"/>
        <v>5</v>
      </c>
      <c r="T144">
        <f>IF(OR(O144="Cancelada",O144="Devolvida"),0,IF('03_DASHBOARD'!$B$5="Todos",1,IF(R144=VALUE('03_DASHBOARD'!$B$5),1,0))*IF('03_DASHBOARD'!$D$5="Todos",1,IF(S144=VLOOKUP('03_DASHBOARD'!$D$5,Listas_Dashboard!$A$2:$B$13,2,FALSE()),1,0))*IF('03_DASHBOARD'!$F$5="Todos",1,IF(N144='03_DASHBOARD'!$F$5,1,0))*IF('03_DASHBOARD'!$H$5="Todos",1,IF(H144='03_DASHBOARD'!$H$5,1,0))*IF('03_DASHBOARD'!$J$5="Todos",1,IF(M144='03_DASHBOARD'!$J$5,1,0)))</f>
        <v>1</v>
      </c>
      <c r="U144">
        <f>IF(T144=1,IF(COUNTIFS($C$2:C144,C144,$T$2:T144,1)=1,1,0),0)</f>
        <v>1</v>
      </c>
    </row>
    <row r="145" spans="1:21" ht="15" customHeight="1">
      <c r="A145" t="s">
        <v>1132</v>
      </c>
      <c r="B145" s="2">
        <v>46165</v>
      </c>
      <c r="C145" t="s">
        <v>892</v>
      </c>
      <c r="D145" t="s">
        <v>893</v>
      </c>
      <c r="E145" t="s">
        <v>420</v>
      </c>
      <c r="F145" t="s">
        <v>84</v>
      </c>
      <c r="G145" t="s">
        <v>81</v>
      </c>
      <c r="H145" t="s">
        <v>78</v>
      </c>
      <c r="I145">
        <v>1</v>
      </c>
      <c r="J145" s="1">
        <v>80</v>
      </c>
      <c r="K145" s="8">
        <v>0</v>
      </c>
      <c r="L145" s="1">
        <v>80</v>
      </c>
      <c r="M145" t="s">
        <v>1017</v>
      </c>
      <c r="N145" t="s">
        <v>404</v>
      </c>
      <c r="O145" t="s">
        <v>951</v>
      </c>
      <c r="P145" t="s">
        <v>1148</v>
      </c>
      <c r="R145">
        <f t="shared" si="8"/>
        <v>2026</v>
      </c>
      <c r="S145">
        <f t="shared" si="9"/>
        <v>5</v>
      </c>
      <c r="T145">
        <f>IF(OR(O145="Cancelada",O145="Devolvida"),0,IF('03_DASHBOARD'!$B$5="Todos",1,IF(R145=VALUE('03_DASHBOARD'!$B$5),1,0))*IF('03_DASHBOARD'!$D$5="Todos",1,IF(S145=VLOOKUP('03_DASHBOARD'!$D$5,Listas_Dashboard!$A$2:$B$13,2,FALSE()),1,0))*IF('03_DASHBOARD'!$F$5="Todos",1,IF(N145='03_DASHBOARD'!$F$5,1,0))*IF('03_DASHBOARD'!$H$5="Todos",1,IF(H145='03_DASHBOARD'!$H$5,1,0))*IF('03_DASHBOARD'!$J$5="Todos",1,IF(M145='03_DASHBOARD'!$J$5,1,0)))</f>
        <v>1</v>
      </c>
      <c r="U145">
        <f>IF(T145=1,IF(COUNTIFS($C$2:C145,C145,$T$2:T145,1)=1,1,0),0)</f>
        <v>1</v>
      </c>
    </row>
    <row r="146" spans="1:21" ht="15" customHeight="1">
      <c r="A146" t="s">
        <v>1133</v>
      </c>
      <c r="B146" s="2">
        <v>46166</v>
      </c>
      <c r="C146" t="s">
        <v>896</v>
      </c>
      <c r="D146" t="s">
        <v>897</v>
      </c>
      <c r="E146" t="s">
        <v>414</v>
      </c>
      <c r="F146" t="s">
        <v>86</v>
      </c>
      <c r="G146" t="s">
        <v>87</v>
      </c>
      <c r="H146" t="s">
        <v>78</v>
      </c>
      <c r="I146">
        <v>4</v>
      </c>
      <c r="J146" s="1">
        <v>65</v>
      </c>
      <c r="K146" s="8">
        <v>10</v>
      </c>
      <c r="L146" s="1">
        <v>234</v>
      </c>
      <c r="M146" t="s">
        <v>1015</v>
      </c>
      <c r="N146" t="s">
        <v>411</v>
      </c>
      <c r="O146" t="s">
        <v>951</v>
      </c>
      <c r="P146" t="s">
        <v>1148</v>
      </c>
      <c r="R146">
        <f t="shared" si="8"/>
        <v>2026</v>
      </c>
      <c r="S146">
        <f t="shared" si="9"/>
        <v>5</v>
      </c>
      <c r="T146">
        <f>IF(OR(O146="Cancelada",O146="Devolvida"),0,IF('03_DASHBOARD'!$B$5="Todos",1,IF(R146=VALUE('03_DASHBOARD'!$B$5),1,0))*IF('03_DASHBOARD'!$D$5="Todos",1,IF(S146=VLOOKUP('03_DASHBOARD'!$D$5,Listas_Dashboard!$A$2:$B$13,2,FALSE()),1,0))*IF('03_DASHBOARD'!$F$5="Todos",1,IF(N146='03_DASHBOARD'!$F$5,1,0))*IF('03_DASHBOARD'!$H$5="Todos",1,IF(H146='03_DASHBOARD'!$H$5,1,0))*IF('03_DASHBOARD'!$J$5="Todos",1,IF(M146='03_DASHBOARD'!$J$5,1,0)))</f>
        <v>1</v>
      </c>
      <c r="U146">
        <f>IF(T146=1,IF(COUNTIFS($C$2:C146,C146,$T$2:T146,1)=1,1,0),0)</f>
        <v>1</v>
      </c>
    </row>
    <row r="147" spans="1:21" ht="15" customHeight="1">
      <c r="A147" t="s">
        <v>1134</v>
      </c>
      <c r="B147" s="2">
        <v>46167</v>
      </c>
      <c r="C147" t="s">
        <v>899</v>
      </c>
      <c r="D147" t="s">
        <v>900</v>
      </c>
      <c r="E147" t="s">
        <v>401</v>
      </c>
      <c r="F147" t="s">
        <v>89</v>
      </c>
      <c r="G147" t="s">
        <v>90</v>
      </c>
      <c r="H147" t="s">
        <v>19</v>
      </c>
      <c r="I147">
        <v>2</v>
      </c>
      <c r="J147" s="1">
        <v>79</v>
      </c>
      <c r="K147" s="8">
        <v>0</v>
      </c>
      <c r="L147" s="1">
        <v>158</v>
      </c>
      <c r="M147" t="s">
        <v>950</v>
      </c>
      <c r="N147" t="s">
        <v>404</v>
      </c>
      <c r="O147" t="s">
        <v>951</v>
      </c>
      <c r="P147" t="s">
        <v>1148</v>
      </c>
      <c r="R147">
        <f t="shared" si="8"/>
        <v>2026</v>
      </c>
      <c r="S147">
        <f t="shared" si="9"/>
        <v>5</v>
      </c>
      <c r="T147">
        <f>IF(OR(O147="Cancelada",O147="Devolvida"),0,IF('03_DASHBOARD'!$B$5="Todos",1,IF(R147=VALUE('03_DASHBOARD'!$B$5),1,0))*IF('03_DASHBOARD'!$D$5="Todos",1,IF(S147=VLOOKUP('03_DASHBOARD'!$D$5,Listas_Dashboard!$A$2:$B$13,2,FALSE()),1,0))*IF('03_DASHBOARD'!$F$5="Todos",1,IF(N147='03_DASHBOARD'!$F$5,1,0))*IF('03_DASHBOARD'!$H$5="Todos",1,IF(H147='03_DASHBOARD'!$H$5,1,0))*IF('03_DASHBOARD'!$J$5="Todos",1,IF(M147='03_DASHBOARD'!$J$5,1,0)))</f>
        <v>1</v>
      </c>
      <c r="U147">
        <f>IF(T147=1,IF(COUNTIFS($C$2:C147,C147,$T$2:T147,1)=1,1,0),0)</f>
        <v>1</v>
      </c>
    </row>
    <row r="148" spans="1:21" ht="15" customHeight="1">
      <c r="A148" t="s">
        <v>1135</v>
      </c>
      <c r="B148" s="2">
        <v>46168</v>
      </c>
      <c r="C148" t="s">
        <v>902</v>
      </c>
      <c r="D148" t="s">
        <v>903</v>
      </c>
      <c r="E148" t="s">
        <v>407</v>
      </c>
      <c r="F148" t="s">
        <v>91</v>
      </c>
      <c r="G148" t="s">
        <v>92</v>
      </c>
      <c r="H148" t="s">
        <v>19</v>
      </c>
      <c r="I148">
        <v>2</v>
      </c>
      <c r="J148" s="1">
        <v>79</v>
      </c>
      <c r="K148" s="8">
        <v>0</v>
      </c>
      <c r="L148" s="1">
        <v>158</v>
      </c>
      <c r="M148" t="s">
        <v>950</v>
      </c>
      <c r="N148" t="s">
        <v>404</v>
      </c>
      <c r="O148" t="s">
        <v>951</v>
      </c>
      <c r="P148" t="s">
        <v>1148</v>
      </c>
      <c r="R148">
        <f t="shared" si="8"/>
        <v>2026</v>
      </c>
      <c r="S148">
        <f t="shared" si="9"/>
        <v>5</v>
      </c>
      <c r="T148">
        <f>IF(OR(O148="Cancelada",O148="Devolvida"),0,IF('03_DASHBOARD'!$B$5="Todos",1,IF(R148=VALUE('03_DASHBOARD'!$B$5),1,0))*IF('03_DASHBOARD'!$D$5="Todos",1,IF(S148=VLOOKUP('03_DASHBOARD'!$D$5,Listas_Dashboard!$A$2:$B$13,2,FALSE()),1,0))*IF('03_DASHBOARD'!$F$5="Todos",1,IF(N148='03_DASHBOARD'!$F$5,1,0))*IF('03_DASHBOARD'!$H$5="Todos",1,IF(H148='03_DASHBOARD'!$H$5,1,0))*IF('03_DASHBOARD'!$J$5="Todos",1,IF(M148='03_DASHBOARD'!$J$5,1,0)))</f>
        <v>1</v>
      </c>
      <c r="U148">
        <f>IF(T148=1,IF(COUNTIFS($C$2:C148,C148,$T$2:T148,1)=1,1,0),0)</f>
        <v>1</v>
      </c>
    </row>
    <row r="149" spans="1:21" ht="15" customHeight="1">
      <c r="A149" t="s">
        <v>1136</v>
      </c>
      <c r="B149" s="2">
        <v>46169</v>
      </c>
      <c r="C149" t="s">
        <v>905</v>
      </c>
      <c r="D149" t="s">
        <v>906</v>
      </c>
      <c r="E149" t="s">
        <v>420</v>
      </c>
      <c r="F149" t="s">
        <v>94</v>
      </c>
      <c r="G149" t="s">
        <v>95</v>
      </c>
      <c r="H149" t="s">
        <v>96</v>
      </c>
      <c r="I149">
        <v>20</v>
      </c>
      <c r="J149" s="1">
        <v>4.5</v>
      </c>
      <c r="K149" s="8">
        <v>0</v>
      </c>
      <c r="L149" s="1">
        <v>90</v>
      </c>
      <c r="M149" t="s">
        <v>954</v>
      </c>
      <c r="N149" t="s">
        <v>411</v>
      </c>
      <c r="O149" t="s">
        <v>951</v>
      </c>
      <c r="P149" t="s">
        <v>1148</v>
      </c>
      <c r="R149">
        <f t="shared" si="8"/>
        <v>2026</v>
      </c>
      <c r="S149">
        <f t="shared" si="9"/>
        <v>5</v>
      </c>
      <c r="T149">
        <f>IF(OR(O149="Cancelada",O149="Devolvida"),0,IF('03_DASHBOARD'!$B$5="Todos",1,IF(R149=VALUE('03_DASHBOARD'!$B$5),1,0))*IF('03_DASHBOARD'!$D$5="Todos",1,IF(S149=VLOOKUP('03_DASHBOARD'!$D$5,Listas_Dashboard!$A$2:$B$13,2,FALSE()),1,0))*IF('03_DASHBOARD'!$F$5="Todos",1,IF(N149='03_DASHBOARD'!$F$5,1,0))*IF('03_DASHBOARD'!$H$5="Todos",1,IF(H149='03_DASHBOARD'!$H$5,1,0))*IF('03_DASHBOARD'!$J$5="Todos",1,IF(M149='03_DASHBOARD'!$J$5,1,0)))</f>
        <v>1</v>
      </c>
      <c r="U149">
        <f>IF(T149=1,IF(COUNTIFS($C$2:C149,C149,$T$2:T149,1)=1,1,0),0)</f>
        <v>1</v>
      </c>
    </row>
    <row r="150" spans="1:21" ht="15" customHeight="1">
      <c r="A150" t="s">
        <v>1137</v>
      </c>
      <c r="B150" s="2">
        <v>46170</v>
      </c>
      <c r="C150" t="s">
        <v>907</v>
      </c>
      <c r="D150" t="s">
        <v>908</v>
      </c>
      <c r="E150" t="s">
        <v>401</v>
      </c>
      <c r="F150" t="s">
        <v>99</v>
      </c>
      <c r="G150" t="s">
        <v>100</v>
      </c>
      <c r="H150" t="s">
        <v>101</v>
      </c>
      <c r="I150">
        <v>1</v>
      </c>
      <c r="J150" s="1">
        <v>185</v>
      </c>
      <c r="K150" s="8">
        <v>0</v>
      </c>
      <c r="L150" s="1">
        <v>185</v>
      </c>
      <c r="M150" t="s">
        <v>959</v>
      </c>
      <c r="N150" t="s">
        <v>404</v>
      </c>
      <c r="O150" t="s">
        <v>951</v>
      </c>
      <c r="P150" t="s">
        <v>1148</v>
      </c>
      <c r="R150">
        <f t="shared" si="8"/>
        <v>2026</v>
      </c>
      <c r="S150">
        <f t="shared" si="9"/>
        <v>5</v>
      </c>
      <c r="T150">
        <f>IF(OR(O150="Cancelada",O150="Devolvida"),0,IF('03_DASHBOARD'!$B$5="Todos",1,IF(R150=VALUE('03_DASHBOARD'!$B$5),1,0))*IF('03_DASHBOARD'!$D$5="Todos",1,IF(S150=VLOOKUP('03_DASHBOARD'!$D$5,Listas_Dashboard!$A$2:$B$13,2,FALSE()),1,0))*IF('03_DASHBOARD'!$F$5="Todos",1,IF(N150='03_DASHBOARD'!$F$5,1,0))*IF('03_DASHBOARD'!$H$5="Todos",1,IF(H150='03_DASHBOARD'!$H$5,1,0))*IF('03_DASHBOARD'!$J$5="Todos",1,IF(M150='03_DASHBOARD'!$J$5,1,0)))</f>
        <v>1</v>
      </c>
      <c r="U150">
        <f>IF(T150=1,IF(COUNTIFS($C$2:C150,C150,$T$2:T150,1)=1,1,0),0)</f>
        <v>1</v>
      </c>
    </row>
    <row r="151" spans="1:21" ht="15" customHeight="1">
      <c r="A151" t="s">
        <v>1138</v>
      </c>
      <c r="B151" s="2">
        <v>46171</v>
      </c>
      <c r="C151" t="s">
        <v>910</v>
      </c>
      <c r="D151" t="s">
        <v>783</v>
      </c>
      <c r="E151" t="s">
        <v>459</v>
      </c>
      <c r="F151" t="s">
        <v>103</v>
      </c>
      <c r="G151" t="s">
        <v>104</v>
      </c>
      <c r="H151" t="s">
        <v>101</v>
      </c>
      <c r="I151">
        <v>1</v>
      </c>
      <c r="J151" s="1">
        <v>249</v>
      </c>
      <c r="K151" s="8">
        <v>50</v>
      </c>
      <c r="L151" s="1">
        <v>124.5</v>
      </c>
      <c r="M151" t="s">
        <v>1015</v>
      </c>
      <c r="N151" t="s">
        <v>404</v>
      </c>
      <c r="O151" t="s">
        <v>951</v>
      </c>
      <c r="P151" t="s">
        <v>1148</v>
      </c>
      <c r="Q151" t="s">
        <v>1139</v>
      </c>
      <c r="R151">
        <f t="shared" si="8"/>
        <v>2026</v>
      </c>
      <c r="S151">
        <f t="shared" si="9"/>
        <v>5</v>
      </c>
      <c r="T151">
        <f>IF(OR(O151="Cancelada",O151="Devolvida"),0,IF('03_DASHBOARD'!$B$5="Todos",1,IF(R151=VALUE('03_DASHBOARD'!$B$5),1,0))*IF('03_DASHBOARD'!$D$5="Todos",1,IF(S151=VLOOKUP('03_DASHBOARD'!$D$5,Listas_Dashboard!$A$2:$B$13,2,FALSE()),1,0))*IF('03_DASHBOARD'!$F$5="Todos",1,IF(N151='03_DASHBOARD'!$F$5,1,0))*IF('03_DASHBOARD'!$H$5="Todos",1,IF(H151='03_DASHBOARD'!$H$5,1,0))*IF('03_DASHBOARD'!$J$5="Todos",1,IF(M151='03_DASHBOARD'!$J$5,1,0)))</f>
        <v>1</v>
      </c>
      <c r="U151">
        <f>IF(T151=1,IF(COUNTIFS($C$2:C151,C151,$T$2:T151,1)=1,1,0),0)</f>
        <v>1</v>
      </c>
    </row>
  </sheetData>
  <pageMargins left="0.7" right="0.7" top="0.75" bottom="0.75" header="0.511811023622047" footer="0.511811023622047"/>
  <pageSetup paperSize="9" orientation="portrait" horizontalDpi="300" verticalDpi="300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L137"/>
  <sheetViews>
    <sheetView topLeftCell="T1" zoomScaleNormal="100" workbookViewId="0">
      <selection activeCell="AE6" sqref="AE6:AF22"/>
    </sheetView>
  </sheetViews>
  <sheetFormatPr defaultColWidth="8.5703125" defaultRowHeight="15" customHeight="1"/>
  <cols>
    <col min="1" max="1" width="23.7109375" customWidth="1"/>
    <col min="2" max="2" width="18.42578125" customWidth="1"/>
    <col min="3" max="3" width="4.5703125" customWidth="1"/>
    <col min="4" max="4" width="19.85546875" customWidth="1"/>
    <col min="5" max="5" width="17.85546875" customWidth="1"/>
    <col min="6" max="6" width="4.7109375" customWidth="1"/>
    <col min="7" max="7" width="13.42578125" customWidth="1"/>
    <col min="8" max="8" width="17.85546875" customWidth="1"/>
    <col min="9" max="9" width="8" customWidth="1"/>
    <col min="10" max="10" width="13.7109375" customWidth="1"/>
    <col min="11" max="11" width="17.85546875" customWidth="1"/>
    <col min="12" max="12" width="21" customWidth="1"/>
    <col min="13" max="13" width="18" customWidth="1"/>
    <col min="14" max="14" width="3.140625" customWidth="1"/>
    <col min="15" max="15" width="16.85546875" customWidth="1"/>
    <col min="16" max="16" width="18" customWidth="1"/>
    <col min="17" max="17" width="17.85546875" customWidth="1"/>
    <col min="18" max="18" width="2.85546875" customWidth="1"/>
    <col min="19" max="19" width="40.5703125" customWidth="1"/>
    <col min="20" max="20" width="17.85546875" customWidth="1"/>
    <col min="21" max="21" width="3.42578125" customWidth="1"/>
    <col min="22" max="22" width="23.7109375" customWidth="1"/>
    <col min="23" max="23" width="17.85546875" customWidth="1"/>
    <col min="24" max="24" width="15.28515625" customWidth="1"/>
    <col min="25" max="25" width="10.140625" customWidth="1"/>
    <col min="26" max="26" width="4.28515625" customWidth="1"/>
    <col min="27" max="27" width="13.42578125" customWidth="1"/>
    <col min="28" max="28" width="17.85546875" customWidth="1"/>
    <col min="29" max="29" width="18" customWidth="1"/>
    <col min="31" max="32" width="17.85546875" customWidth="1"/>
    <col min="34" max="34" width="26.7109375" customWidth="1"/>
    <col min="35" max="35" width="11.28515625" customWidth="1"/>
    <col min="37" max="37" width="13.42578125" customWidth="1"/>
    <col min="38" max="38" width="17.85546875" customWidth="1"/>
  </cols>
  <sheetData>
    <row r="1" spans="1:38" ht="15" customHeight="1">
      <c r="A1" s="64" t="s">
        <v>1154</v>
      </c>
      <c r="B1" s="64"/>
      <c r="D1" s="64" t="s">
        <v>1155</v>
      </c>
      <c r="E1" s="64"/>
      <c r="G1" s="64" t="s">
        <v>1156</v>
      </c>
      <c r="H1" s="64"/>
      <c r="J1" s="64" t="s">
        <v>1157</v>
      </c>
      <c r="K1" s="64"/>
      <c r="L1" s="64"/>
      <c r="M1" s="64"/>
      <c r="O1" s="64" t="s">
        <v>1158</v>
      </c>
      <c r="P1" s="64"/>
      <c r="Q1" s="64"/>
      <c r="R1" s="10"/>
      <c r="S1" s="64" t="s">
        <v>1159</v>
      </c>
      <c r="T1" s="64"/>
      <c r="U1" s="11"/>
      <c r="V1" s="64" t="s">
        <v>1160</v>
      </c>
      <c r="W1" s="64"/>
      <c r="X1" s="64"/>
      <c r="Y1" s="64"/>
      <c r="Z1" s="10"/>
      <c r="AA1" s="64" t="s">
        <v>1161</v>
      </c>
      <c r="AB1" s="64"/>
      <c r="AC1" s="64"/>
      <c r="AE1" s="66" t="s">
        <v>1162</v>
      </c>
      <c r="AF1" s="66"/>
      <c r="AG1" s="13"/>
      <c r="AH1" s="66" t="s">
        <v>1163</v>
      </c>
      <c r="AI1" s="66"/>
      <c r="AJ1" s="13"/>
      <c r="AK1" s="64" t="s">
        <v>1164</v>
      </c>
      <c r="AL1" s="64"/>
    </row>
    <row r="2" spans="1:38" ht="15" customHeight="1">
      <c r="A2" s="64"/>
      <c r="B2" s="64"/>
      <c r="D2" s="64"/>
      <c r="E2" s="64"/>
      <c r="G2" s="64"/>
      <c r="H2" s="64"/>
      <c r="J2" s="64"/>
      <c r="K2" s="64"/>
      <c r="L2" s="64"/>
      <c r="M2" s="64"/>
      <c r="O2" s="64"/>
      <c r="P2" s="64"/>
      <c r="Q2" s="64"/>
      <c r="S2" s="64"/>
      <c r="T2" s="64"/>
      <c r="V2" s="64"/>
      <c r="W2" s="64"/>
      <c r="X2" s="64"/>
      <c r="Y2" s="64"/>
      <c r="AA2" s="64"/>
      <c r="AB2" s="64"/>
      <c r="AC2" s="64"/>
      <c r="AE2" s="66"/>
      <c r="AF2" s="66"/>
      <c r="AG2" s="13"/>
      <c r="AH2" s="66"/>
      <c r="AI2" s="66"/>
      <c r="AJ2" s="13"/>
      <c r="AK2" s="64"/>
      <c r="AL2" s="64"/>
    </row>
    <row r="3" spans="1:38" ht="15" customHeight="1">
      <c r="A3" s="35" t="s">
        <v>942</v>
      </c>
      <c r="B3" t="s">
        <v>1165</v>
      </c>
      <c r="D3" s="35" t="s">
        <v>942</v>
      </c>
      <c r="E3" t="s">
        <v>1165</v>
      </c>
      <c r="G3" s="35" t="s">
        <v>942</v>
      </c>
      <c r="H3" t="s">
        <v>1165</v>
      </c>
      <c r="J3" s="35" t="s">
        <v>942</v>
      </c>
      <c r="K3" t="s">
        <v>1165</v>
      </c>
      <c r="O3" s="35" t="s">
        <v>942</v>
      </c>
      <c r="P3" t="s">
        <v>1165</v>
      </c>
      <c r="AA3" s="35" t="s">
        <v>942</v>
      </c>
      <c r="AB3" t="s">
        <v>1165</v>
      </c>
      <c r="AE3" s="35" t="s">
        <v>942</v>
      </c>
      <c r="AF3" t="s">
        <v>1165</v>
      </c>
      <c r="AK3" s="35" t="s">
        <v>942</v>
      </c>
      <c r="AL3" t="s">
        <v>1165</v>
      </c>
    </row>
    <row r="5" spans="1:38" ht="15" customHeight="1">
      <c r="A5" s="35" t="s">
        <v>1166</v>
      </c>
      <c r="B5" t="s">
        <v>1167</v>
      </c>
      <c r="D5" s="35" t="s">
        <v>1166</v>
      </c>
      <c r="E5" t="s">
        <v>1168</v>
      </c>
      <c r="G5" s="35" t="s">
        <v>1166</v>
      </c>
      <c r="H5" t="s">
        <v>1168</v>
      </c>
      <c r="K5" s="35" t="s">
        <v>1169</v>
      </c>
      <c r="P5" s="35" t="s">
        <v>1169</v>
      </c>
      <c r="S5" t="s">
        <v>1170</v>
      </c>
      <c r="T5" t="s">
        <v>1171</v>
      </c>
      <c r="V5" t="s">
        <v>1</v>
      </c>
      <c r="W5" t="s">
        <v>1172</v>
      </c>
      <c r="X5" t="s">
        <v>1173</v>
      </c>
      <c r="Y5" t="s">
        <v>1174</v>
      </c>
      <c r="AB5" s="35" t="s">
        <v>1169</v>
      </c>
      <c r="AE5" s="35" t="s">
        <v>1166</v>
      </c>
      <c r="AF5" t="s">
        <v>1168</v>
      </c>
      <c r="AH5" t="s">
        <v>1170</v>
      </c>
      <c r="AI5" t="s">
        <v>1171</v>
      </c>
      <c r="AK5" s="35" t="s">
        <v>1166</v>
      </c>
      <c r="AL5" t="s">
        <v>1168</v>
      </c>
    </row>
    <row r="6" spans="1:38" ht="15" customHeight="1">
      <c r="A6" s="36" t="s">
        <v>351</v>
      </c>
      <c r="B6">
        <v>2</v>
      </c>
      <c r="D6" s="36" t="s">
        <v>122</v>
      </c>
      <c r="E6" s="1">
        <v>4555.8500000000004</v>
      </c>
      <c r="G6" s="36" t="s">
        <v>401</v>
      </c>
      <c r="H6" s="1">
        <v>12402.500000000002</v>
      </c>
      <c r="J6" s="35" t="s">
        <v>1166</v>
      </c>
      <c r="K6" t="s">
        <v>1168</v>
      </c>
      <c r="L6" t="s">
        <v>1175</v>
      </c>
      <c r="M6" t="s">
        <v>1176</v>
      </c>
      <c r="O6" s="35" t="s">
        <v>1166</v>
      </c>
      <c r="P6" t="s">
        <v>1176</v>
      </c>
      <c r="Q6" t="s">
        <v>1168</v>
      </c>
      <c r="R6" s="1"/>
      <c r="S6" t="s">
        <v>1177</v>
      </c>
      <c r="T6">
        <f>145</f>
        <v>145</v>
      </c>
      <c r="U6" s="1"/>
      <c r="V6" t="s">
        <v>361</v>
      </c>
      <c r="W6" s="14">
        <v>899</v>
      </c>
      <c r="X6" s="1">
        <v>159</v>
      </c>
      <c r="Y6" s="3">
        <v>0.82</v>
      </c>
      <c r="Z6" s="1"/>
      <c r="AA6" s="35" t="s">
        <v>1166</v>
      </c>
      <c r="AB6" t="s">
        <v>1168</v>
      </c>
      <c r="AC6" t="s">
        <v>1176</v>
      </c>
      <c r="AE6" s="36" t="s">
        <v>13</v>
      </c>
      <c r="AF6" s="1">
        <v>11872.2</v>
      </c>
      <c r="AH6" t="s">
        <v>1178</v>
      </c>
      <c r="AI6">
        <f>150</f>
        <v>150</v>
      </c>
      <c r="AK6" s="36" t="s">
        <v>1179</v>
      </c>
      <c r="AL6" s="1">
        <v>43780.67</v>
      </c>
    </row>
    <row r="7" spans="1:38" ht="15" customHeight="1">
      <c r="A7" s="36" t="s">
        <v>237</v>
      </c>
      <c r="B7">
        <v>2</v>
      </c>
      <c r="D7" s="36" t="s">
        <v>27</v>
      </c>
      <c r="E7" s="1">
        <v>3357.5</v>
      </c>
      <c r="G7" s="36" t="s">
        <v>407</v>
      </c>
      <c r="H7" s="1">
        <v>8055.6400000000012</v>
      </c>
      <c r="J7" s="36" t="s">
        <v>404</v>
      </c>
      <c r="K7" s="1">
        <v>23645.389999999996</v>
      </c>
      <c r="L7" s="1">
        <v>303.14602564102557</v>
      </c>
      <c r="M7">
        <v>78</v>
      </c>
      <c r="O7" s="36" t="s">
        <v>706</v>
      </c>
      <c r="P7">
        <v>1</v>
      </c>
      <c r="Q7" s="1">
        <v>90</v>
      </c>
      <c r="R7" s="1"/>
      <c r="S7" t="s">
        <v>1180</v>
      </c>
      <c r="T7">
        <f>COUNTIF('Dados Tratados'!K2:K151,"&gt;0")</f>
        <v>36</v>
      </c>
      <c r="U7" s="1"/>
      <c r="V7" t="s">
        <v>370</v>
      </c>
      <c r="W7" s="1">
        <v>699</v>
      </c>
      <c r="X7" s="1">
        <v>25</v>
      </c>
      <c r="Y7" s="3">
        <v>0.96</v>
      </c>
      <c r="Z7" s="1"/>
      <c r="AA7" s="36" t="s">
        <v>950</v>
      </c>
      <c r="AB7" s="1">
        <v>10589.7</v>
      </c>
      <c r="AC7">
        <v>38</v>
      </c>
      <c r="AE7" s="36" t="s">
        <v>53</v>
      </c>
      <c r="AF7" s="1">
        <v>6662.1</v>
      </c>
      <c r="AH7" t="s">
        <v>1181</v>
      </c>
      <c r="AI7">
        <f>COUNTIF(Vendas!L2:L151,"&lt;&gt;")</f>
        <v>22</v>
      </c>
      <c r="AK7" s="37" t="s">
        <v>1182</v>
      </c>
      <c r="AL7" s="1">
        <v>7064.69</v>
      </c>
    </row>
    <row r="8" spans="1:38" ht="15" customHeight="1">
      <c r="A8" s="36" t="s">
        <v>240</v>
      </c>
      <c r="B8">
        <v>2</v>
      </c>
      <c r="D8" s="36" t="s">
        <v>307</v>
      </c>
      <c r="E8" s="1">
        <v>1592.1</v>
      </c>
      <c r="G8" s="36" t="s">
        <v>420</v>
      </c>
      <c r="H8" s="1">
        <v>5168.83</v>
      </c>
      <c r="J8" s="36" t="s">
        <v>536</v>
      </c>
      <c r="K8" s="1">
        <v>9712.23</v>
      </c>
      <c r="L8" s="1">
        <v>334.9044827586207</v>
      </c>
      <c r="M8">
        <v>29</v>
      </c>
      <c r="O8" s="36" t="s">
        <v>413</v>
      </c>
      <c r="P8">
        <v>2</v>
      </c>
      <c r="Q8" s="1">
        <v>220</v>
      </c>
      <c r="R8" s="1"/>
      <c r="S8" t="s">
        <v>1183</v>
      </c>
      <c r="T8" s="15">
        <f>T7/145</f>
        <v>0.24827586206896551</v>
      </c>
      <c r="U8" s="1"/>
      <c r="V8" t="s">
        <v>356</v>
      </c>
      <c r="W8" s="1">
        <v>389</v>
      </c>
      <c r="X8" s="1">
        <v>129</v>
      </c>
      <c r="Y8" s="3">
        <v>0.66</v>
      </c>
      <c r="Z8" s="1"/>
      <c r="AA8" s="36" t="s">
        <v>954</v>
      </c>
      <c r="AB8" s="1">
        <v>9421.7799999999988</v>
      </c>
      <c r="AC8">
        <v>34</v>
      </c>
      <c r="AE8" s="36" t="s">
        <v>35</v>
      </c>
      <c r="AF8" s="1">
        <v>4598.2699999999986</v>
      </c>
      <c r="AH8" t="s">
        <v>1184</v>
      </c>
      <c r="AI8" s="15">
        <f>AI7/150</f>
        <v>0.14666666666666667</v>
      </c>
      <c r="AK8" s="37" t="s">
        <v>1185</v>
      </c>
      <c r="AL8" s="1">
        <v>10240.6</v>
      </c>
    </row>
    <row r="9" spans="1:38" ht="15" customHeight="1">
      <c r="A9" s="36" t="s">
        <v>365</v>
      </c>
      <c r="B9">
        <v>1</v>
      </c>
      <c r="D9" s="36" t="s">
        <v>226</v>
      </c>
      <c r="E9" s="1">
        <v>1512</v>
      </c>
      <c r="G9" s="36" t="s">
        <v>470</v>
      </c>
      <c r="H9" s="1">
        <v>3233</v>
      </c>
      <c r="J9" s="36" t="s">
        <v>411</v>
      </c>
      <c r="K9" s="1">
        <v>7331.85</v>
      </c>
      <c r="L9" s="1">
        <v>293.274</v>
      </c>
      <c r="M9">
        <v>25</v>
      </c>
      <c r="O9" s="36" t="s">
        <v>889</v>
      </c>
      <c r="P9">
        <v>1</v>
      </c>
      <c r="Q9" s="1">
        <v>80</v>
      </c>
      <c r="R9" s="1"/>
      <c r="S9" t="s">
        <v>1186</v>
      </c>
      <c r="T9">
        <f>AVERAGEIF('Dados Tratados'!K2:K151,"&gt;0")</f>
        <v>15</v>
      </c>
      <c r="U9" s="1"/>
      <c r="V9" t="s">
        <v>365</v>
      </c>
      <c r="W9" s="1">
        <v>299</v>
      </c>
      <c r="X9" s="1">
        <v>89</v>
      </c>
      <c r="Y9" s="3">
        <v>0.7</v>
      </c>
      <c r="Z9" s="1"/>
      <c r="AA9" s="36" t="s">
        <v>959</v>
      </c>
      <c r="AB9" s="1">
        <v>6856.29</v>
      </c>
      <c r="AC9">
        <v>26</v>
      </c>
      <c r="AE9" s="36" t="s">
        <v>123</v>
      </c>
      <c r="AF9" s="1">
        <v>4555.8500000000004</v>
      </c>
      <c r="AK9" s="37" t="s">
        <v>1187</v>
      </c>
      <c r="AL9" s="1">
        <v>10229.999999999998</v>
      </c>
    </row>
    <row r="10" spans="1:38" ht="15" customHeight="1">
      <c r="A10" s="36" t="s">
        <v>367</v>
      </c>
      <c r="B10">
        <v>2</v>
      </c>
      <c r="D10" s="36" t="s">
        <v>243</v>
      </c>
      <c r="E10" s="1">
        <v>1248</v>
      </c>
      <c r="G10" s="36" t="s">
        <v>414</v>
      </c>
      <c r="H10" s="1">
        <v>3031.1</v>
      </c>
      <c r="J10" s="36" t="s">
        <v>396</v>
      </c>
      <c r="K10" s="1">
        <v>1681</v>
      </c>
      <c r="L10" s="1">
        <v>336.2</v>
      </c>
      <c r="M10">
        <v>5</v>
      </c>
      <c r="O10" s="36" t="s">
        <v>504</v>
      </c>
      <c r="P10">
        <v>1</v>
      </c>
      <c r="Q10" s="1">
        <v>79</v>
      </c>
      <c r="R10" s="1"/>
      <c r="U10" s="16"/>
      <c r="V10" t="s">
        <v>351</v>
      </c>
      <c r="W10" s="1">
        <v>215</v>
      </c>
      <c r="X10" s="1">
        <v>79</v>
      </c>
      <c r="Y10" s="3">
        <v>0.63</v>
      </c>
      <c r="Z10" s="1"/>
      <c r="AA10" s="36" t="s">
        <v>1017</v>
      </c>
      <c r="AB10" s="1">
        <v>6678.7000000000007</v>
      </c>
      <c r="AC10">
        <v>19</v>
      </c>
      <c r="AE10" s="36" t="s">
        <v>19</v>
      </c>
      <c r="AF10" s="1">
        <v>3699.3</v>
      </c>
      <c r="AH10" s="65" t="s">
        <v>1188</v>
      </c>
      <c r="AI10" s="65"/>
      <c r="AK10" s="37" t="s">
        <v>1189</v>
      </c>
      <c r="AL10" s="1">
        <v>10332.650000000001</v>
      </c>
    </row>
    <row r="11" spans="1:38" ht="15" customHeight="1">
      <c r="A11" s="36" t="s">
        <v>290</v>
      </c>
      <c r="B11">
        <v>2</v>
      </c>
      <c r="D11" s="36" t="s">
        <v>231</v>
      </c>
      <c r="E11" s="1">
        <v>1170</v>
      </c>
      <c r="G11" s="36" t="s">
        <v>551</v>
      </c>
      <c r="H11" s="1">
        <v>2516</v>
      </c>
      <c r="J11" s="36" t="s">
        <v>1026</v>
      </c>
      <c r="K11" s="1">
        <v>1054.75</v>
      </c>
      <c r="L11" s="1">
        <v>263.6875</v>
      </c>
      <c r="M11">
        <v>4</v>
      </c>
      <c r="O11" s="36" t="s">
        <v>606</v>
      </c>
      <c r="P11">
        <v>1</v>
      </c>
      <c r="Q11" s="1">
        <v>198</v>
      </c>
      <c r="R11" s="1"/>
      <c r="S11" s="65" t="s">
        <v>1188</v>
      </c>
      <c r="T11" s="65"/>
      <c r="V11" t="s">
        <v>382</v>
      </c>
      <c r="W11" s="1">
        <v>149</v>
      </c>
      <c r="X11" s="1">
        <v>35</v>
      </c>
      <c r="Y11" s="3">
        <v>0.76</v>
      </c>
      <c r="Z11" s="1"/>
      <c r="AA11" s="36" t="s">
        <v>1015</v>
      </c>
      <c r="AB11" s="1">
        <v>4523.1499999999996</v>
      </c>
      <c r="AC11">
        <v>13</v>
      </c>
      <c r="AE11" s="36" t="s">
        <v>176</v>
      </c>
      <c r="AF11" s="1">
        <v>3050.5499999999997</v>
      </c>
      <c r="AK11" s="37" t="s">
        <v>1190</v>
      </c>
      <c r="AL11" s="1">
        <v>5912.73</v>
      </c>
    </row>
    <row r="12" spans="1:38" ht="15" customHeight="1">
      <c r="A12" s="36" t="s">
        <v>294</v>
      </c>
      <c r="B12">
        <v>2</v>
      </c>
      <c r="D12" s="36" t="s">
        <v>344</v>
      </c>
      <c r="E12" s="1">
        <v>1157.0999999999999</v>
      </c>
      <c r="G12" s="36" t="s">
        <v>431</v>
      </c>
      <c r="H12" s="1">
        <v>2445.6</v>
      </c>
      <c r="J12" s="36" t="s">
        <v>1021</v>
      </c>
      <c r="K12" s="1">
        <v>566.45000000000005</v>
      </c>
      <c r="L12" s="1">
        <v>188.81666666666669</v>
      </c>
      <c r="M12">
        <v>3</v>
      </c>
      <c r="O12" s="36" t="s">
        <v>858</v>
      </c>
      <c r="P12">
        <v>1</v>
      </c>
      <c r="Q12" s="1">
        <v>228</v>
      </c>
      <c r="R12" s="1"/>
      <c r="S12" s="1"/>
      <c r="T12" s="1"/>
      <c r="U12" s="1"/>
      <c r="V12" t="s">
        <v>338</v>
      </c>
      <c r="W12" s="1">
        <v>129</v>
      </c>
      <c r="X12" s="1">
        <v>59</v>
      </c>
      <c r="Y12" s="3">
        <v>0.54</v>
      </c>
      <c r="Z12" s="1"/>
      <c r="AA12" s="36" t="s">
        <v>1019</v>
      </c>
      <c r="AB12" s="1">
        <v>2730.75</v>
      </c>
      <c r="AC12">
        <v>4</v>
      </c>
      <c r="AE12" s="36" t="s">
        <v>61</v>
      </c>
      <c r="AF12" s="1">
        <v>2288</v>
      </c>
      <c r="AK12" s="36" t="s">
        <v>1191</v>
      </c>
      <c r="AL12" s="1">
        <v>43780.67</v>
      </c>
    </row>
    <row r="13" spans="1:38" ht="15" customHeight="1">
      <c r="A13" s="36" t="s">
        <v>189</v>
      </c>
      <c r="B13">
        <v>1</v>
      </c>
      <c r="D13" s="36" t="s">
        <v>12</v>
      </c>
      <c r="E13" s="1">
        <v>1090</v>
      </c>
      <c r="G13" s="36" t="s">
        <v>426</v>
      </c>
      <c r="H13" s="1">
        <v>2422.25</v>
      </c>
      <c r="J13" s="36" t="s">
        <v>395</v>
      </c>
      <c r="K13" s="1">
        <v>34</v>
      </c>
      <c r="L13" s="1">
        <v>34</v>
      </c>
      <c r="M13">
        <v>1</v>
      </c>
      <c r="O13" s="36" t="s">
        <v>669</v>
      </c>
      <c r="P13">
        <v>1</v>
      </c>
      <c r="Q13" s="1">
        <v>624</v>
      </c>
      <c r="R13" s="1"/>
      <c r="S13" s="1"/>
      <c r="T13" s="1"/>
      <c r="U13" s="1"/>
      <c r="V13" s="1"/>
      <c r="W13" s="1"/>
      <c r="X13" s="1"/>
      <c r="Y13" s="1"/>
      <c r="Z13" s="1"/>
      <c r="AA13" s="36" t="s">
        <v>969</v>
      </c>
      <c r="AB13" s="1">
        <v>2536.1</v>
      </c>
      <c r="AC13">
        <v>6</v>
      </c>
      <c r="AE13" s="36" t="s">
        <v>250</v>
      </c>
      <c r="AF13" s="1">
        <v>2068</v>
      </c>
    </row>
    <row r="14" spans="1:38" ht="15" customHeight="1">
      <c r="A14" s="36" t="s">
        <v>185</v>
      </c>
      <c r="B14">
        <v>3</v>
      </c>
      <c r="D14" s="36" t="s">
        <v>309</v>
      </c>
      <c r="E14" s="1">
        <v>1043.0999999999999</v>
      </c>
      <c r="G14" s="36" t="s">
        <v>465</v>
      </c>
      <c r="H14" s="1">
        <v>1932</v>
      </c>
      <c r="J14" s="36" t="s">
        <v>1191</v>
      </c>
      <c r="K14" s="1">
        <v>44025.67</v>
      </c>
      <c r="L14" s="1">
        <v>303.6253103448276</v>
      </c>
      <c r="M14">
        <v>145</v>
      </c>
      <c r="O14" s="36" t="s">
        <v>750</v>
      </c>
      <c r="P14">
        <v>1</v>
      </c>
      <c r="Q14" s="1">
        <v>58</v>
      </c>
      <c r="R14" s="1"/>
      <c r="S14" s="1"/>
      <c r="T14" s="1"/>
      <c r="U14" s="1"/>
      <c r="V14" s="65" t="s">
        <v>1188</v>
      </c>
      <c r="W14" s="65"/>
      <c r="X14" s="65"/>
      <c r="Y14" s="65"/>
      <c r="Z14" s="1"/>
      <c r="AA14" s="36" t="s">
        <v>981</v>
      </c>
      <c r="AB14" s="1">
        <v>689.2</v>
      </c>
      <c r="AC14">
        <v>5</v>
      </c>
      <c r="AE14" s="36" t="s">
        <v>45</v>
      </c>
      <c r="AF14" s="1">
        <v>1215.5</v>
      </c>
    </row>
    <row r="15" spans="1:38" ht="15" customHeight="1">
      <c r="A15" s="36" t="s">
        <v>349</v>
      </c>
      <c r="B15">
        <v>3</v>
      </c>
      <c r="D15" s="36" t="s">
        <v>336</v>
      </c>
      <c r="E15" s="1">
        <v>846.6</v>
      </c>
      <c r="G15" s="36" t="s">
        <v>459</v>
      </c>
      <c r="H15" s="1">
        <v>1617.7</v>
      </c>
      <c r="J15" s="65" t="s">
        <v>1188</v>
      </c>
      <c r="K15" s="65"/>
      <c r="L15" s="65"/>
      <c r="M15" s="65"/>
      <c r="O15" s="36" t="s">
        <v>814</v>
      </c>
      <c r="P15">
        <v>1</v>
      </c>
      <c r="Q15" s="1">
        <v>178</v>
      </c>
      <c r="R15" s="1"/>
      <c r="S15" s="1"/>
      <c r="T15" s="1"/>
      <c r="U15" s="1"/>
      <c r="V15" s="1"/>
      <c r="W15" s="1"/>
      <c r="X15" s="1"/>
      <c r="Y15" s="1"/>
      <c r="Z15" s="1"/>
      <c r="AA15" s="36" t="s">
        <v>1191</v>
      </c>
      <c r="AB15" s="1">
        <v>44025.67</v>
      </c>
      <c r="AC15">
        <v>145</v>
      </c>
      <c r="AD15" s="16"/>
      <c r="AE15" s="36" t="s">
        <v>161</v>
      </c>
      <c r="AF15" s="1">
        <v>1121</v>
      </c>
    </row>
    <row r="16" spans="1:38" ht="15" customHeight="1">
      <c r="A16" s="36" t="s">
        <v>281</v>
      </c>
      <c r="B16">
        <v>2</v>
      </c>
      <c r="D16" s="36" t="s">
        <v>34</v>
      </c>
      <c r="E16" s="1">
        <v>822</v>
      </c>
      <c r="G16" s="36" t="s">
        <v>479</v>
      </c>
      <c r="H16" s="1">
        <v>1201.05</v>
      </c>
      <c r="O16" s="36" t="s">
        <v>528</v>
      </c>
      <c r="P16">
        <v>1</v>
      </c>
      <c r="Q16" s="1">
        <v>320</v>
      </c>
      <c r="R16" s="1"/>
      <c r="S16" s="1"/>
      <c r="T16" s="1"/>
      <c r="U16" s="1"/>
      <c r="V16" s="1"/>
      <c r="W16" s="1"/>
      <c r="X16" s="1"/>
      <c r="Y16" s="1"/>
      <c r="Z16" s="1"/>
      <c r="AA16" s="65" t="s">
        <v>1188</v>
      </c>
      <c r="AB16" s="65"/>
      <c r="AC16" s="65"/>
      <c r="AE16" s="36" t="s">
        <v>101</v>
      </c>
      <c r="AF16" s="1">
        <v>693.7</v>
      </c>
    </row>
    <row r="17" spans="1:33" ht="15" customHeight="1">
      <c r="A17" s="36" t="s">
        <v>278</v>
      </c>
      <c r="B17">
        <v>2</v>
      </c>
      <c r="D17" s="36" t="s">
        <v>325</v>
      </c>
      <c r="E17" s="1">
        <v>736</v>
      </c>
      <c r="G17" s="36" t="s">
        <v>1191</v>
      </c>
      <c r="H17" s="1">
        <v>44025.67</v>
      </c>
      <c r="O17" s="36" t="s">
        <v>723</v>
      </c>
      <c r="P17">
        <v>1</v>
      </c>
      <c r="Q17" s="1">
        <v>499</v>
      </c>
      <c r="R17" s="1"/>
      <c r="S17" s="1"/>
      <c r="T17" s="1"/>
      <c r="U17" s="1"/>
      <c r="V17" s="1"/>
      <c r="W17" s="1"/>
      <c r="X17" s="1"/>
      <c r="Y17" s="1"/>
      <c r="Z17" s="1"/>
      <c r="AE17" s="36" t="s">
        <v>135</v>
      </c>
      <c r="AF17" s="1">
        <v>548</v>
      </c>
    </row>
    <row r="18" spans="1:33" ht="15" customHeight="1">
      <c r="A18" s="36" t="s">
        <v>65</v>
      </c>
      <c r="B18">
        <v>33</v>
      </c>
      <c r="D18" s="36" t="s">
        <v>107</v>
      </c>
      <c r="E18" s="1">
        <v>735</v>
      </c>
      <c r="O18" s="36" t="s">
        <v>871</v>
      </c>
      <c r="P18">
        <v>1</v>
      </c>
      <c r="Q18" s="1">
        <v>190</v>
      </c>
      <c r="R18" s="1"/>
      <c r="S18" s="1"/>
      <c r="T18" s="1"/>
      <c r="U18" s="1"/>
      <c r="V18" s="1"/>
      <c r="W18" s="1"/>
      <c r="X18" s="1"/>
      <c r="Y18" s="1"/>
      <c r="Z18" s="1"/>
      <c r="AE18" s="36" t="s">
        <v>78</v>
      </c>
      <c r="AF18" s="1">
        <v>517.5</v>
      </c>
    </row>
    <row r="19" spans="1:33" ht="15" customHeight="1">
      <c r="A19" s="36" t="s">
        <v>60</v>
      </c>
      <c r="B19">
        <v>35</v>
      </c>
      <c r="D19" s="36" t="s">
        <v>116</v>
      </c>
      <c r="E19" s="1">
        <v>699</v>
      </c>
      <c r="G19" s="65" t="s">
        <v>1188</v>
      </c>
      <c r="H19" s="65"/>
      <c r="O19" s="36" t="s">
        <v>673</v>
      </c>
      <c r="P19">
        <v>1</v>
      </c>
      <c r="Q19" s="1">
        <v>624</v>
      </c>
      <c r="R19" s="1"/>
      <c r="S19" s="1"/>
      <c r="T19" s="1"/>
      <c r="U19" s="1"/>
      <c r="V19" s="1"/>
      <c r="W19" s="1"/>
      <c r="X19" s="1"/>
      <c r="Y19" s="1"/>
      <c r="Z19" s="1"/>
      <c r="AE19" s="36" t="s">
        <v>82</v>
      </c>
      <c r="AF19" s="1">
        <v>400</v>
      </c>
    </row>
    <row r="20" spans="1:33" ht="15" customHeight="1">
      <c r="A20" s="36" t="s">
        <v>100</v>
      </c>
      <c r="B20">
        <v>2</v>
      </c>
      <c r="D20" s="36" t="s">
        <v>327</v>
      </c>
      <c r="E20" s="1">
        <v>628.20000000000005</v>
      </c>
      <c r="O20" s="36" t="s">
        <v>492</v>
      </c>
      <c r="P20">
        <v>1</v>
      </c>
      <c r="Q20" s="1">
        <v>80</v>
      </c>
      <c r="R20" s="1"/>
      <c r="S20" s="1"/>
      <c r="T20" s="1"/>
      <c r="U20" s="1"/>
      <c r="V20" s="1"/>
      <c r="W20" s="1"/>
      <c r="X20" s="1"/>
      <c r="Y20" s="1"/>
      <c r="Z20" s="1"/>
      <c r="AE20" s="36" t="s">
        <v>186</v>
      </c>
      <c r="AF20" s="1">
        <v>338.2</v>
      </c>
    </row>
    <row r="21" spans="1:33" ht="15" customHeight="1">
      <c r="A21" s="36" t="s">
        <v>204</v>
      </c>
      <c r="B21">
        <v>2</v>
      </c>
      <c r="D21" s="36" t="s">
        <v>151</v>
      </c>
      <c r="E21" s="1">
        <v>590</v>
      </c>
      <c r="O21" s="36" t="s">
        <v>710</v>
      </c>
      <c r="P21">
        <v>1</v>
      </c>
      <c r="Q21" s="1">
        <v>189</v>
      </c>
      <c r="R21" s="1"/>
      <c r="S21" s="1"/>
      <c r="T21" s="1"/>
      <c r="U21" s="1"/>
      <c r="V21" s="1"/>
      <c r="W21" s="1"/>
      <c r="X21" s="1"/>
      <c r="Y21" s="1"/>
      <c r="Z21" s="1"/>
      <c r="AE21" s="36" t="s">
        <v>171</v>
      </c>
      <c r="AF21" s="1">
        <v>240</v>
      </c>
    </row>
    <row r="22" spans="1:33" ht="15" customHeight="1">
      <c r="A22" s="36" t="s">
        <v>336</v>
      </c>
      <c r="B22">
        <v>4</v>
      </c>
      <c r="D22" s="36" t="s">
        <v>164</v>
      </c>
      <c r="E22" s="1">
        <v>590</v>
      </c>
      <c r="O22" s="36" t="s">
        <v>592</v>
      </c>
      <c r="P22">
        <v>1</v>
      </c>
      <c r="Q22" s="1">
        <v>590</v>
      </c>
      <c r="R22" s="1"/>
      <c r="S22" s="1"/>
      <c r="T22" s="1"/>
      <c r="U22" s="1"/>
      <c r="V22" s="1"/>
      <c r="W22" s="1"/>
      <c r="X22" s="1"/>
      <c r="Y22" s="1"/>
      <c r="Z22" s="1"/>
      <c r="AE22" s="36" t="s">
        <v>96</v>
      </c>
      <c r="AF22" s="1">
        <v>157.5</v>
      </c>
    </row>
    <row r="23" spans="1:33" ht="15" customHeight="1">
      <c r="A23" s="36" t="s">
        <v>208</v>
      </c>
      <c r="B23">
        <v>2</v>
      </c>
      <c r="D23" s="36" t="s">
        <v>23</v>
      </c>
      <c r="E23" s="1">
        <v>580</v>
      </c>
      <c r="O23" s="36" t="s">
        <v>831</v>
      </c>
      <c r="P23">
        <v>1</v>
      </c>
      <c r="Q23" s="1">
        <v>70</v>
      </c>
      <c r="R23" s="1"/>
      <c r="S23" s="1"/>
      <c r="T23" s="1"/>
      <c r="U23" s="1"/>
      <c r="V23" s="1"/>
      <c r="W23" s="1"/>
      <c r="X23" s="1"/>
      <c r="Y23" s="1"/>
      <c r="Z23" s="1"/>
      <c r="AA23" s="1"/>
      <c r="AE23" s="36" t="s">
        <v>1191</v>
      </c>
      <c r="AF23" s="1">
        <v>44025.67</v>
      </c>
    </row>
    <row r="24" spans="1:33" ht="15" customHeight="1">
      <c r="A24" s="36" t="s">
        <v>144</v>
      </c>
      <c r="B24">
        <v>1</v>
      </c>
      <c r="D24" s="36" t="s">
        <v>81</v>
      </c>
      <c r="E24" s="1">
        <v>560</v>
      </c>
      <c r="O24" s="36" t="s">
        <v>469</v>
      </c>
      <c r="P24">
        <v>2</v>
      </c>
      <c r="Q24" s="1">
        <v>946</v>
      </c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33" ht="15" customHeight="1">
      <c r="A25" s="36" t="s">
        <v>142</v>
      </c>
      <c r="B25">
        <v>2</v>
      </c>
      <c r="D25" s="36" t="s">
        <v>90</v>
      </c>
      <c r="E25" s="1">
        <v>553</v>
      </c>
      <c r="O25" s="36" t="s">
        <v>609</v>
      </c>
      <c r="P25">
        <v>1</v>
      </c>
      <c r="Q25" s="1">
        <v>114.75</v>
      </c>
      <c r="R25" s="1"/>
      <c r="S25" s="1"/>
      <c r="T25" s="1"/>
      <c r="U25" s="1"/>
      <c r="V25" s="1"/>
      <c r="W25" s="1"/>
      <c r="X25" s="1"/>
      <c r="Y25" s="1"/>
      <c r="Z25" s="1"/>
      <c r="AA25" s="1"/>
      <c r="AE25" s="65" t="s">
        <v>1188</v>
      </c>
      <c r="AF25" s="65"/>
      <c r="AG25" s="16"/>
    </row>
    <row r="26" spans="1:33" ht="15" customHeight="1">
      <c r="A26" s="36" t="s">
        <v>81</v>
      </c>
      <c r="B26">
        <v>7</v>
      </c>
      <c r="D26" s="36" t="s">
        <v>160</v>
      </c>
      <c r="E26" s="1">
        <v>531</v>
      </c>
      <c r="O26" s="36" t="s">
        <v>810</v>
      </c>
      <c r="P26">
        <v>1</v>
      </c>
      <c r="Q26" s="1">
        <v>89</v>
      </c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33" ht="15" customHeight="1">
      <c r="A27" s="36" t="s">
        <v>215</v>
      </c>
      <c r="B27">
        <v>2</v>
      </c>
      <c r="D27" s="36" t="s">
        <v>377</v>
      </c>
      <c r="E27" s="1">
        <v>524.25</v>
      </c>
      <c r="O27" s="36" t="s">
        <v>658</v>
      </c>
      <c r="P27">
        <v>1</v>
      </c>
      <c r="Q27" s="1">
        <v>585</v>
      </c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33" ht="15" customHeight="1">
      <c r="A28" s="36" t="s">
        <v>212</v>
      </c>
      <c r="B28">
        <v>1</v>
      </c>
      <c r="D28" s="36" t="s">
        <v>380</v>
      </c>
      <c r="E28" s="1">
        <v>524.25</v>
      </c>
      <c r="O28" s="36" t="s">
        <v>436</v>
      </c>
      <c r="P28">
        <v>1</v>
      </c>
      <c r="Q28" s="1">
        <v>240</v>
      </c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33" ht="15" customHeight="1">
      <c r="A29" s="36" t="s">
        <v>42</v>
      </c>
      <c r="B29">
        <v>3</v>
      </c>
      <c r="D29" s="36" t="s">
        <v>301</v>
      </c>
      <c r="E29" s="1">
        <v>499</v>
      </c>
      <c r="O29" s="36" t="s">
        <v>774</v>
      </c>
      <c r="P29">
        <v>1</v>
      </c>
      <c r="Q29" s="1">
        <v>846.6</v>
      </c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33" ht="15" customHeight="1">
      <c r="A30" s="36" t="s">
        <v>157</v>
      </c>
      <c r="B30">
        <v>2</v>
      </c>
      <c r="D30" s="36" t="s">
        <v>298</v>
      </c>
      <c r="E30" s="1">
        <v>499</v>
      </c>
      <c r="O30" s="36" t="s">
        <v>908</v>
      </c>
      <c r="P30">
        <v>1</v>
      </c>
      <c r="Q30" s="1">
        <v>185</v>
      </c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33" ht="15" customHeight="1">
      <c r="A31" s="36" t="s">
        <v>155</v>
      </c>
      <c r="B31">
        <v>1</v>
      </c>
      <c r="D31" s="36" t="s">
        <v>305</v>
      </c>
      <c r="E31" s="1">
        <v>499</v>
      </c>
      <c r="O31" s="36" t="s">
        <v>827</v>
      </c>
      <c r="P31">
        <v>1</v>
      </c>
      <c r="Q31" s="1">
        <v>524.25</v>
      </c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33" ht="15" customHeight="1">
      <c r="A32" s="36" t="s">
        <v>243</v>
      </c>
      <c r="B32">
        <v>2</v>
      </c>
      <c r="D32" s="36" t="s">
        <v>175</v>
      </c>
      <c r="E32" s="1">
        <v>495</v>
      </c>
      <c r="O32" s="36" t="s">
        <v>478</v>
      </c>
      <c r="P32">
        <v>1</v>
      </c>
      <c r="Q32" s="1">
        <v>-30</v>
      </c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5" customHeight="1">
      <c r="A33" s="36" t="s">
        <v>77</v>
      </c>
      <c r="B33">
        <v>4</v>
      </c>
      <c r="D33" s="36" t="s">
        <v>168</v>
      </c>
      <c r="E33" s="1">
        <v>493</v>
      </c>
      <c r="O33" s="36" t="s">
        <v>676</v>
      </c>
      <c r="P33">
        <v>2</v>
      </c>
      <c r="Q33" s="1">
        <v>890</v>
      </c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5" customHeight="1">
      <c r="A34" s="36" t="s">
        <v>151</v>
      </c>
      <c r="B34">
        <v>1</v>
      </c>
      <c r="C34" t="s">
        <v>1192</v>
      </c>
      <c r="D34" s="36" t="s">
        <v>290</v>
      </c>
      <c r="E34" s="1">
        <v>491.3</v>
      </c>
      <c r="O34" s="36" t="s">
        <v>884</v>
      </c>
      <c r="P34">
        <v>1</v>
      </c>
      <c r="Q34" s="1">
        <v>75</v>
      </c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5" customHeight="1">
      <c r="A35" s="36" t="s">
        <v>148</v>
      </c>
      <c r="B35">
        <v>1</v>
      </c>
      <c r="D35" s="36" t="s">
        <v>294</v>
      </c>
      <c r="E35" s="1">
        <v>491.3</v>
      </c>
      <c r="O35" s="36" t="s">
        <v>538</v>
      </c>
      <c r="P35">
        <v>1</v>
      </c>
      <c r="Q35" s="1">
        <v>649</v>
      </c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5" customHeight="1">
      <c r="A36" s="36" t="s">
        <v>44</v>
      </c>
      <c r="B36">
        <v>2</v>
      </c>
      <c r="D36" s="36" t="s">
        <v>109</v>
      </c>
      <c r="E36" s="1">
        <v>490</v>
      </c>
      <c r="O36" s="36" t="s">
        <v>906</v>
      </c>
      <c r="P36">
        <v>1</v>
      </c>
      <c r="Q36" s="1">
        <v>90</v>
      </c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5" customHeight="1">
      <c r="A37" s="36" t="s">
        <v>260</v>
      </c>
      <c r="B37">
        <v>2</v>
      </c>
      <c r="D37" s="36" t="s">
        <v>39</v>
      </c>
      <c r="E37" s="1">
        <v>468</v>
      </c>
      <c r="O37" s="36" t="s">
        <v>546</v>
      </c>
      <c r="P37">
        <v>1</v>
      </c>
      <c r="Q37" s="1">
        <v>551.65</v>
      </c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5" customHeight="1">
      <c r="A38" s="36" t="s">
        <v>258</v>
      </c>
      <c r="B38">
        <v>2</v>
      </c>
      <c r="D38" s="36" t="s">
        <v>249</v>
      </c>
      <c r="E38" s="1">
        <v>445</v>
      </c>
      <c r="O38" s="36" t="s">
        <v>715</v>
      </c>
      <c r="P38">
        <v>1</v>
      </c>
      <c r="Q38" s="1">
        <v>189</v>
      </c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5" customHeight="1">
      <c r="A39" s="36" t="s">
        <v>254</v>
      </c>
      <c r="B39">
        <v>5</v>
      </c>
      <c r="D39" s="36" t="s">
        <v>254</v>
      </c>
      <c r="E39" s="1">
        <v>445</v>
      </c>
      <c r="K39" s="18" t="s">
        <v>404</v>
      </c>
      <c r="L39" s="19">
        <v>25178.39</v>
      </c>
      <c r="O39" s="36" t="s">
        <v>542</v>
      </c>
      <c r="P39">
        <v>1</v>
      </c>
      <c r="Q39" s="1">
        <v>1258.2</v>
      </c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5" customHeight="1">
      <c r="A40" s="36" t="s">
        <v>249</v>
      </c>
      <c r="B40">
        <v>5</v>
      </c>
      <c r="D40" s="36" t="s">
        <v>44</v>
      </c>
      <c r="E40" s="1">
        <v>420</v>
      </c>
      <c r="K40" s="18" t="s">
        <v>536</v>
      </c>
      <c r="L40" s="19">
        <v>9712.23</v>
      </c>
      <c r="O40" s="36" t="s">
        <v>862</v>
      </c>
      <c r="P40">
        <v>1</v>
      </c>
      <c r="Q40" s="1">
        <v>239.98</v>
      </c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5" customHeight="1">
      <c r="A41" s="36" t="s">
        <v>182</v>
      </c>
      <c r="B41">
        <v>2</v>
      </c>
      <c r="D41" s="36" t="s">
        <v>60</v>
      </c>
      <c r="E41" s="1">
        <v>420</v>
      </c>
      <c r="K41" s="18" t="s">
        <v>1193</v>
      </c>
      <c r="L41" s="19">
        <v>7331.85</v>
      </c>
      <c r="O41" s="36" t="s">
        <v>684</v>
      </c>
      <c r="P41">
        <v>1</v>
      </c>
      <c r="Q41" s="1">
        <v>290</v>
      </c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5" customHeight="1">
      <c r="A42" s="36" t="s">
        <v>175</v>
      </c>
      <c r="B42">
        <v>5</v>
      </c>
      <c r="D42" s="36" t="s">
        <v>49</v>
      </c>
      <c r="E42" s="1">
        <v>402.5</v>
      </c>
      <c r="K42" s="18" t="s">
        <v>1194</v>
      </c>
      <c r="L42" s="19">
        <v>3336.2</v>
      </c>
      <c r="O42" s="36" t="s">
        <v>488</v>
      </c>
      <c r="P42">
        <v>2</v>
      </c>
      <c r="Q42" s="1">
        <v>325</v>
      </c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5" customHeight="1">
      <c r="A43" s="36" t="s">
        <v>284</v>
      </c>
      <c r="B43">
        <v>1</v>
      </c>
      <c r="D43" s="36" t="s">
        <v>65</v>
      </c>
      <c r="E43" s="1">
        <v>396</v>
      </c>
      <c r="O43" s="36" t="s">
        <v>743</v>
      </c>
      <c r="P43">
        <v>1</v>
      </c>
      <c r="Q43" s="1">
        <v>147</v>
      </c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5" customHeight="1">
      <c r="A44" s="36" t="s">
        <v>359</v>
      </c>
      <c r="B44">
        <v>2</v>
      </c>
      <c r="D44" s="36" t="s">
        <v>52</v>
      </c>
      <c r="E44" s="1">
        <v>380</v>
      </c>
      <c r="O44" s="36" t="s">
        <v>819</v>
      </c>
      <c r="P44">
        <v>1</v>
      </c>
      <c r="Q44" s="1">
        <v>50</v>
      </c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5" customHeight="1">
      <c r="A45" s="36" t="s">
        <v>87</v>
      </c>
      <c r="B45">
        <v>6</v>
      </c>
      <c r="D45" s="36" t="s">
        <v>100</v>
      </c>
      <c r="E45" s="1">
        <v>370</v>
      </c>
      <c r="O45" s="36" t="s">
        <v>624</v>
      </c>
      <c r="P45">
        <v>1</v>
      </c>
      <c r="Q45" s="1">
        <v>79.599999999999994</v>
      </c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5" customHeight="1">
      <c r="A46" s="36" t="s">
        <v>370</v>
      </c>
      <c r="B46">
        <v>3</v>
      </c>
      <c r="D46" s="36" t="s">
        <v>42</v>
      </c>
      <c r="E46" s="1">
        <v>359.96999999999997</v>
      </c>
      <c r="O46" s="36" t="s">
        <v>793</v>
      </c>
      <c r="P46">
        <v>1</v>
      </c>
      <c r="Q46" s="1">
        <v>158</v>
      </c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5" customHeight="1">
      <c r="A47" s="36" t="s">
        <v>374</v>
      </c>
      <c r="B47">
        <v>2</v>
      </c>
      <c r="D47" s="36" t="s">
        <v>87</v>
      </c>
      <c r="E47" s="1">
        <v>357.5</v>
      </c>
      <c r="O47" s="36" t="s">
        <v>868</v>
      </c>
      <c r="P47">
        <v>1</v>
      </c>
      <c r="Q47" s="1">
        <v>224</v>
      </c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5" customHeight="1">
      <c r="A48" s="36" t="s">
        <v>305</v>
      </c>
      <c r="B48">
        <v>1</v>
      </c>
      <c r="D48" s="36" t="s">
        <v>240</v>
      </c>
      <c r="E48" s="1">
        <v>330</v>
      </c>
      <c r="O48" s="36" t="s">
        <v>584</v>
      </c>
      <c r="P48">
        <v>1</v>
      </c>
      <c r="Q48" s="1">
        <v>298</v>
      </c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5" customHeight="1">
      <c r="A49" s="36" t="s">
        <v>298</v>
      </c>
      <c r="B49">
        <v>1</v>
      </c>
      <c r="D49" s="36" t="s">
        <v>237</v>
      </c>
      <c r="E49" s="1">
        <v>330</v>
      </c>
      <c r="O49" s="36" t="s">
        <v>874</v>
      </c>
      <c r="P49">
        <v>1</v>
      </c>
      <c r="Q49" s="1">
        <v>70</v>
      </c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5" customHeight="1">
      <c r="A50" s="36" t="s">
        <v>301</v>
      </c>
      <c r="B50">
        <v>1</v>
      </c>
      <c r="D50" s="36" t="s">
        <v>104</v>
      </c>
      <c r="E50" s="1">
        <v>323.7</v>
      </c>
      <c r="O50" s="36" t="s">
        <v>766</v>
      </c>
      <c r="P50">
        <v>1</v>
      </c>
      <c r="Q50" s="1">
        <v>245.1</v>
      </c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5" customHeight="1">
      <c r="A51" s="36" t="s">
        <v>12</v>
      </c>
      <c r="B51">
        <v>6</v>
      </c>
      <c r="D51" s="36" t="s">
        <v>219</v>
      </c>
      <c r="E51" s="1">
        <v>320</v>
      </c>
      <c r="O51" s="36" t="s">
        <v>628</v>
      </c>
      <c r="P51">
        <v>1</v>
      </c>
      <c r="Q51" s="1">
        <v>169.1</v>
      </c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5" customHeight="1">
      <c r="A52" s="36" t="s">
        <v>109</v>
      </c>
      <c r="B52">
        <v>2</v>
      </c>
      <c r="D52" s="36" t="s">
        <v>223</v>
      </c>
      <c r="E52" s="1">
        <v>320</v>
      </c>
      <c r="O52" s="36" t="s">
        <v>783</v>
      </c>
      <c r="P52">
        <v>2</v>
      </c>
      <c r="Q52" s="1">
        <v>523.5</v>
      </c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5" customHeight="1">
      <c r="A53" s="36" t="s">
        <v>113</v>
      </c>
      <c r="B53">
        <v>1</v>
      </c>
      <c r="D53" s="36" t="s">
        <v>113</v>
      </c>
      <c r="E53" s="1">
        <v>320</v>
      </c>
      <c r="O53" s="36" t="s">
        <v>681</v>
      </c>
      <c r="P53">
        <v>1</v>
      </c>
      <c r="Q53" s="1">
        <v>290</v>
      </c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5" customHeight="1">
      <c r="A54" s="36" t="s">
        <v>107</v>
      </c>
      <c r="B54">
        <v>3</v>
      </c>
      <c r="D54" s="36" t="s">
        <v>266</v>
      </c>
      <c r="E54" s="1">
        <v>299</v>
      </c>
      <c r="O54" s="36" t="s">
        <v>804</v>
      </c>
      <c r="P54">
        <v>1</v>
      </c>
      <c r="Q54" s="1">
        <v>286.2</v>
      </c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5" customHeight="1">
      <c r="A55" s="36" t="s">
        <v>309</v>
      </c>
      <c r="B55">
        <v>2</v>
      </c>
      <c r="D55" s="36" t="s">
        <v>263</v>
      </c>
      <c r="E55" s="1">
        <v>299</v>
      </c>
      <c r="O55" s="36" t="s">
        <v>510</v>
      </c>
      <c r="P55">
        <v>1</v>
      </c>
      <c r="Q55" s="1">
        <v>185</v>
      </c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5" customHeight="1">
      <c r="A56" s="36" t="s">
        <v>307</v>
      </c>
      <c r="B56">
        <v>3</v>
      </c>
      <c r="D56" s="36" t="s">
        <v>157</v>
      </c>
      <c r="E56" s="1">
        <v>298</v>
      </c>
      <c r="O56" s="36" t="s">
        <v>560</v>
      </c>
      <c r="P56">
        <v>1</v>
      </c>
      <c r="Q56" s="1">
        <v>39</v>
      </c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5" customHeight="1">
      <c r="A57" s="36" t="s">
        <v>266</v>
      </c>
      <c r="B57">
        <v>1</v>
      </c>
      <c r="D57" s="36" t="s">
        <v>341</v>
      </c>
      <c r="E57" s="1">
        <v>295</v>
      </c>
      <c r="O57" s="36" t="s">
        <v>732</v>
      </c>
      <c r="P57">
        <v>2</v>
      </c>
      <c r="Q57" s="1">
        <v>1118.0999999999999</v>
      </c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5" customHeight="1">
      <c r="A58" s="36" t="s">
        <v>263</v>
      </c>
      <c r="B58">
        <v>1</v>
      </c>
      <c r="D58" s="36" t="s">
        <v>258</v>
      </c>
      <c r="E58" s="1">
        <v>290</v>
      </c>
      <c r="O58" s="36" t="s">
        <v>445</v>
      </c>
      <c r="P58">
        <v>1</v>
      </c>
      <c r="Q58" s="1">
        <v>210</v>
      </c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5" customHeight="1">
      <c r="A59" s="36" t="s">
        <v>196</v>
      </c>
      <c r="B59">
        <v>4</v>
      </c>
      <c r="D59" s="36" t="s">
        <v>260</v>
      </c>
      <c r="E59" s="1">
        <v>290</v>
      </c>
      <c r="O59" s="36" t="s">
        <v>638</v>
      </c>
      <c r="P59">
        <v>1</v>
      </c>
      <c r="Q59" s="1">
        <v>190</v>
      </c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5" customHeight="1">
      <c r="A60" s="36" t="s">
        <v>321</v>
      </c>
      <c r="B60">
        <v>2</v>
      </c>
      <c r="D60" s="36" t="s">
        <v>359</v>
      </c>
      <c r="E60" s="1">
        <v>286.2</v>
      </c>
      <c r="O60" s="36" t="s">
        <v>515</v>
      </c>
      <c r="P60">
        <v>1</v>
      </c>
      <c r="Q60" s="1">
        <v>199.2</v>
      </c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5" customHeight="1">
      <c r="A61" s="36" t="s">
        <v>219</v>
      </c>
      <c r="B61">
        <v>1</v>
      </c>
      <c r="D61" s="36" t="s">
        <v>18</v>
      </c>
      <c r="E61" s="1">
        <v>277.5</v>
      </c>
      <c r="O61" s="36" t="s">
        <v>464</v>
      </c>
      <c r="P61">
        <v>1</v>
      </c>
      <c r="Q61" s="1">
        <v>120</v>
      </c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5" customHeight="1">
      <c r="A62" s="36" t="s">
        <v>223</v>
      </c>
      <c r="B62">
        <v>1</v>
      </c>
      <c r="D62" s="36" t="s">
        <v>333</v>
      </c>
      <c r="E62" s="1">
        <v>249</v>
      </c>
      <c r="O62" s="36" t="s">
        <v>754</v>
      </c>
      <c r="P62">
        <v>1</v>
      </c>
      <c r="Q62" s="1">
        <v>58</v>
      </c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5" customHeight="1">
      <c r="A63" s="36" t="s">
        <v>95</v>
      </c>
      <c r="B63">
        <v>35</v>
      </c>
      <c r="D63" s="36" t="s">
        <v>331</v>
      </c>
      <c r="E63" s="1">
        <v>245.1</v>
      </c>
      <c r="O63" s="36" t="s">
        <v>855</v>
      </c>
      <c r="P63">
        <v>1</v>
      </c>
      <c r="Q63" s="1">
        <v>342</v>
      </c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5" customHeight="1">
      <c r="A64" s="36" t="s">
        <v>74</v>
      </c>
      <c r="B64">
        <v>3</v>
      </c>
      <c r="D64" s="36" t="s">
        <v>30</v>
      </c>
      <c r="E64" s="1">
        <v>240</v>
      </c>
      <c r="O64" s="36" t="s">
        <v>651</v>
      </c>
      <c r="P64">
        <v>1</v>
      </c>
      <c r="Q64" s="1">
        <v>756</v>
      </c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5" customHeight="1">
      <c r="A65" s="36" t="s">
        <v>69</v>
      </c>
      <c r="B65">
        <v>8</v>
      </c>
      <c r="D65" s="36" t="s">
        <v>349</v>
      </c>
      <c r="E65" s="1">
        <v>237</v>
      </c>
      <c r="O65" s="36" t="s">
        <v>474</v>
      </c>
      <c r="P65">
        <v>1</v>
      </c>
      <c r="Q65" s="1">
        <v>45</v>
      </c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5" customHeight="1">
      <c r="A66" s="36" t="s">
        <v>27</v>
      </c>
      <c r="B66">
        <v>5</v>
      </c>
      <c r="D66" s="36" t="s">
        <v>77</v>
      </c>
      <c r="E66" s="1">
        <v>220</v>
      </c>
      <c r="O66" s="36" t="s">
        <v>568</v>
      </c>
      <c r="P66">
        <v>1</v>
      </c>
      <c r="Q66" s="1">
        <v>34</v>
      </c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5" customHeight="1">
      <c r="A67" s="36" t="s">
        <v>134</v>
      </c>
      <c r="B67">
        <v>5</v>
      </c>
      <c r="D67" s="36" t="s">
        <v>182</v>
      </c>
      <c r="E67" s="1">
        <v>198</v>
      </c>
      <c r="O67" s="36" t="s">
        <v>800</v>
      </c>
      <c r="P67">
        <v>1</v>
      </c>
      <c r="Q67" s="1">
        <v>129</v>
      </c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5" customHeight="1">
      <c r="A68" s="36" t="s">
        <v>138</v>
      </c>
      <c r="B68">
        <v>1</v>
      </c>
      <c r="D68" s="36" t="s">
        <v>215</v>
      </c>
      <c r="E68" s="1">
        <v>190</v>
      </c>
      <c r="O68" s="36" t="s">
        <v>687</v>
      </c>
      <c r="P68">
        <v>1</v>
      </c>
      <c r="Q68" s="1">
        <v>299</v>
      </c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5" customHeight="1">
      <c r="A69" s="36" t="s">
        <v>164</v>
      </c>
      <c r="B69">
        <v>1</v>
      </c>
      <c r="D69" s="36" t="s">
        <v>287</v>
      </c>
      <c r="E69" s="1">
        <v>189</v>
      </c>
      <c r="O69" s="36" t="s">
        <v>400</v>
      </c>
      <c r="P69">
        <v>5</v>
      </c>
      <c r="Q69" s="1">
        <v>1578.8</v>
      </c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5" customHeight="1">
      <c r="A70" s="36" t="s">
        <v>160</v>
      </c>
      <c r="B70">
        <v>1</v>
      </c>
      <c r="D70" s="36" t="s">
        <v>284</v>
      </c>
      <c r="E70" s="1">
        <v>189</v>
      </c>
      <c r="O70" s="36" t="s">
        <v>524</v>
      </c>
      <c r="P70">
        <v>1</v>
      </c>
      <c r="Q70" s="1">
        <v>490</v>
      </c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5" customHeight="1">
      <c r="A71" s="36" t="s">
        <v>23</v>
      </c>
      <c r="B71">
        <v>24</v>
      </c>
      <c r="D71" s="36" t="s">
        <v>134</v>
      </c>
      <c r="E71" s="1">
        <v>185.25</v>
      </c>
      <c r="O71" s="36" t="s">
        <v>613</v>
      </c>
      <c r="P71">
        <v>1</v>
      </c>
      <c r="Q71" s="1">
        <v>45</v>
      </c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5" customHeight="1">
      <c r="A72" s="36" t="s">
        <v>319</v>
      </c>
      <c r="B72">
        <v>2</v>
      </c>
      <c r="D72" s="36" t="s">
        <v>367</v>
      </c>
      <c r="E72" s="1">
        <v>178</v>
      </c>
      <c r="O72" s="36" t="s">
        <v>844</v>
      </c>
      <c r="P72">
        <v>2</v>
      </c>
      <c r="Q72" s="1">
        <v>435</v>
      </c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5" customHeight="1">
      <c r="A73" s="36" t="s">
        <v>226</v>
      </c>
      <c r="B73">
        <v>4</v>
      </c>
      <c r="D73" s="36" t="s">
        <v>155</v>
      </c>
      <c r="E73" s="1">
        <v>170</v>
      </c>
      <c r="O73" s="36" t="s">
        <v>736</v>
      </c>
      <c r="P73">
        <v>1</v>
      </c>
      <c r="Q73" s="1">
        <v>1043.0999999999999</v>
      </c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5" customHeight="1">
      <c r="A74" s="36" t="s">
        <v>52</v>
      </c>
      <c r="B74">
        <v>4</v>
      </c>
      <c r="D74" s="36" t="s">
        <v>204</v>
      </c>
      <c r="E74" s="1">
        <v>169.1</v>
      </c>
      <c r="O74" s="36" t="s">
        <v>841</v>
      </c>
      <c r="P74">
        <v>1</v>
      </c>
      <c r="Q74" s="1">
        <v>370</v>
      </c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5" customHeight="1">
      <c r="A75" s="36" t="s">
        <v>168</v>
      </c>
      <c r="B75">
        <v>3</v>
      </c>
      <c r="D75" s="36" t="s">
        <v>208</v>
      </c>
      <c r="E75" s="1">
        <v>169.1</v>
      </c>
      <c r="O75" s="36" t="s">
        <v>580</v>
      </c>
      <c r="P75">
        <v>1</v>
      </c>
      <c r="Q75" s="1">
        <v>170</v>
      </c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ht="15" customHeight="1">
      <c r="A76" s="36" t="s">
        <v>384</v>
      </c>
      <c r="B76">
        <v>2</v>
      </c>
      <c r="D76" s="36" t="s">
        <v>361</v>
      </c>
      <c r="E76" s="1">
        <v>159</v>
      </c>
      <c r="O76" s="36" t="s">
        <v>740</v>
      </c>
      <c r="P76">
        <v>1</v>
      </c>
      <c r="Q76" s="1">
        <v>549</v>
      </c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ht="15" customHeight="1">
      <c r="A77" s="36" t="s">
        <v>382</v>
      </c>
      <c r="B77">
        <v>2</v>
      </c>
      <c r="D77" s="36" t="s">
        <v>351</v>
      </c>
      <c r="E77" s="1">
        <v>158</v>
      </c>
      <c r="O77" s="36" t="s">
        <v>662</v>
      </c>
      <c r="P77">
        <v>1</v>
      </c>
      <c r="Q77" s="1">
        <v>330</v>
      </c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ht="15" customHeight="1">
      <c r="A78" s="36" t="s">
        <v>104</v>
      </c>
      <c r="B78">
        <v>2</v>
      </c>
      <c r="D78" s="36" t="s">
        <v>95</v>
      </c>
      <c r="E78" s="1">
        <v>157.5</v>
      </c>
      <c r="O78" s="36" t="s">
        <v>780</v>
      </c>
      <c r="P78">
        <v>1</v>
      </c>
      <c r="Q78" s="1">
        <v>295</v>
      </c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ht="15" customHeight="1">
      <c r="A79" s="36" t="s">
        <v>331</v>
      </c>
      <c r="B79">
        <v>2</v>
      </c>
      <c r="D79" s="36" t="s">
        <v>313</v>
      </c>
      <c r="E79" s="1">
        <v>147</v>
      </c>
      <c r="O79" s="36" t="s">
        <v>496</v>
      </c>
      <c r="P79">
        <v>1</v>
      </c>
      <c r="Q79" s="1">
        <v>123.5</v>
      </c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ht="15" customHeight="1">
      <c r="A80" s="36" t="s">
        <v>333</v>
      </c>
      <c r="B80">
        <v>1</v>
      </c>
      <c r="D80" s="36" t="s">
        <v>315</v>
      </c>
      <c r="E80" s="1">
        <v>147</v>
      </c>
      <c r="O80" s="36" t="s">
        <v>632</v>
      </c>
      <c r="P80">
        <v>1</v>
      </c>
      <c r="Q80" s="1">
        <v>169.1</v>
      </c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ht="15" customHeight="1">
      <c r="A81" s="36" t="s">
        <v>122</v>
      </c>
      <c r="B81">
        <v>7</v>
      </c>
      <c r="D81" s="36" t="s">
        <v>57</v>
      </c>
      <c r="E81" s="1">
        <v>140</v>
      </c>
      <c r="O81" s="36" t="s">
        <v>897</v>
      </c>
      <c r="P81">
        <v>1</v>
      </c>
      <c r="Q81" s="1">
        <v>234</v>
      </c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ht="15" customHeight="1">
      <c r="A82" s="36" t="s">
        <v>39</v>
      </c>
      <c r="B82">
        <v>4</v>
      </c>
      <c r="D82" s="36" t="s">
        <v>356</v>
      </c>
      <c r="E82" s="1">
        <v>129</v>
      </c>
      <c r="O82" s="36" t="s">
        <v>406</v>
      </c>
      <c r="P82">
        <v>1</v>
      </c>
      <c r="Q82" s="1">
        <v>807.5</v>
      </c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ht="15" customHeight="1">
      <c r="A83" s="36" t="s">
        <v>34</v>
      </c>
      <c r="B83">
        <v>7</v>
      </c>
      <c r="D83" s="36" t="s">
        <v>354</v>
      </c>
      <c r="E83" s="1">
        <v>129</v>
      </c>
      <c r="O83" s="36" t="s">
        <v>835</v>
      </c>
      <c r="P83">
        <v>1</v>
      </c>
      <c r="Q83" s="1">
        <v>70</v>
      </c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ht="15" customHeight="1">
      <c r="A84" s="36" t="s">
        <v>327</v>
      </c>
      <c r="B84">
        <v>2</v>
      </c>
      <c r="D84" s="36" t="s">
        <v>69</v>
      </c>
      <c r="E84" s="1">
        <v>120</v>
      </c>
      <c r="O84" s="36" t="s">
        <v>763</v>
      </c>
      <c r="P84">
        <v>1</v>
      </c>
      <c r="Q84" s="1">
        <v>387</v>
      </c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ht="15" customHeight="1">
      <c r="A85" s="36" t="s">
        <v>325</v>
      </c>
      <c r="B85">
        <v>4</v>
      </c>
      <c r="D85" s="36" t="s">
        <v>338</v>
      </c>
      <c r="E85" s="1">
        <v>118</v>
      </c>
      <c r="O85" s="36" t="s">
        <v>555</v>
      </c>
      <c r="P85">
        <v>1</v>
      </c>
      <c r="Q85" s="1">
        <v>185.25</v>
      </c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ht="15" customHeight="1">
      <c r="A86" s="36" t="s">
        <v>231</v>
      </c>
      <c r="B86">
        <v>6</v>
      </c>
      <c r="D86" s="36" t="s">
        <v>185</v>
      </c>
      <c r="E86" s="1">
        <v>114.75</v>
      </c>
      <c r="O86" s="36" t="s">
        <v>865</v>
      </c>
      <c r="P86">
        <v>1</v>
      </c>
      <c r="Q86" s="1">
        <v>210</v>
      </c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ht="15" customHeight="1">
      <c r="A87" s="36" t="s">
        <v>57</v>
      </c>
      <c r="B87">
        <v>2</v>
      </c>
      <c r="D87" s="36" t="s">
        <v>148</v>
      </c>
      <c r="E87" s="1">
        <v>111.75</v>
      </c>
      <c r="O87" s="36" t="s">
        <v>691</v>
      </c>
      <c r="P87">
        <v>1</v>
      </c>
      <c r="Q87" s="1">
        <v>299</v>
      </c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ht="15" customHeight="1">
      <c r="A88" s="36" t="s">
        <v>344</v>
      </c>
      <c r="B88">
        <v>3</v>
      </c>
      <c r="D88" s="36" t="s">
        <v>274</v>
      </c>
      <c r="E88" s="1">
        <v>110</v>
      </c>
      <c r="O88" s="36" t="s">
        <v>500</v>
      </c>
      <c r="P88">
        <v>1</v>
      </c>
      <c r="Q88" s="1">
        <v>158</v>
      </c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ht="15" customHeight="1">
      <c r="A89" s="36" t="s">
        <v>116</v>
      </c>
      <c r="B89">
        <v>1</v>
      </c>
      <c r="D89" s="36" t="s">
        <v>212</v>
      </c>
      <c r="E89" s="1">
        <v>95</v>
      </c>
      <c r="O89" s="36" t="s">
        <v>806</v>
      </c>
      <c r="P89">
        <v>1</v>
      </c>
      <c r="Q89" s="1">
        <v>159</v>
      </c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ht="15" customHeight="1">
      <c r="A90" s="36" t="s">
        <v>377</v>
      </c>
      <c r="B90">
        <v>1</v>
      </c>
      <c r="D90" s="36" t="s">
        <v>281</v>
      </c>
      <c r="E90" s="1">
        <v>90</v>
      </c>
      <c r="O90" s="36" t="s">
        <v>599</v>
      </c>
      <c r="P90">
        <v>1</v>
      </c>
      <c r="Q90" s="1">
        <v>170</v>
      </c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ht="15" customHeight="1">
      <c r="A91" s="36" t="s">
        <v>380</v>
      </c>
      <c r="B91">
        <v>1</v>
      </c>
      <c r="D91" s="36" t="s">
        <v>278</v>
      </c>
      <c r="E91" s="1">
        <v>90</v>
      </c>
      <c r="O91" s="36" t="s">
        <v>718</v>
      </c>
      <c r="P91">
        <v>1</v>
      </c>
      <c r="Q91" s="1">
        <v>491.3</v>
      </c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ht="15" customHeight="1">
      <c r="A92" s="36" t="s">
        <v>200</v>
      </c>
      <c r="B92">
        <v>4</v>
      </c>
      <c r="D92" s="36" t="s">
        <v>365</v>
      </c>
      <c r="E92" s="1">
        <v>89</v>
      </c>
      <c r="O92" s="36" t="s">
        <v>430</v>
      </c>
      <c r="P92">
        <v>1</v>
      </c>
      <c r="Q92" s="1">
        <v>480</v>
      </c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ht="15" customHeight="1">
      <c r="A93" s="36" t="s">
        <v>18</v>
      </c>
      <c r="B93">
        <v>4</v>
      </c>
      <c r="D93" s="36" t="s">
        <v>200</v>
      </c>
      <c r="E93" s="1">
        <v>79.599999999999994</v>
      </c>
      <c r="O93" s="36" t="s">
        <v>648</v>
      </c>
      <c r="P93">
        <v>2</v>
      </c>
      <c r="Q93" s="1">
        <v>866</v>
      </c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ht="15" customHeight="1">
      <c r="A94" s="36" t="s">
        <v>315</v>
      </c>
      <c r="B94">
        <v>3</v>
      </c>
      <c r="D94" s="36" t="s">
        <v>196</v>
      </c>
      <c r="E94" s="1">
        <v>79.599999999999994</v>
      </c>
      <c r="O94" s="36" t="s">
        <v>532</v>
      </c>
      <c r="P94">
        <v>1</v>
      </c>
      <c r="Q94" s="1">
        <v>699</v>
      </c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ht="15" customHeight="1">
      <c r="A95" s="36" t="s">
        <v>313</v>
      </c>
      <c r="B95">
        <v>3</v>
      </c>
      <c r="D95" s="36" t="s">
        <v>370</v>
      </c>
      <c r="E95" s="1">
        <v>75</v>
      </c>
      <c r="O95" s="36" t="s">
        <v>616</v>
      </c>
      <c r="P95">
        <v>1</v>
      </c>
      <c r="Q95" s="1">
        <v>850</v>
      </c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ht="15" customHeight="1">
      <c r="A96" s="36" t="s">
        <v>49</v>
      </c>
      <c r="B96">
        <v>14</v>
      </c>
      <c r="D96" s="36" t="s">
        <v>384</v>
      </c>
      <c r="E96" s="1">
        <v>70</v>
      </c>
      <c r="O96" s="36" t="s">
        <v>797</v>
      </c>
      <c r="P96">
        <v>1</v>
      </c>
      <c r="Q96" s="1">
        <v>129</v>
      </c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ht="15" customHeight="1">
      <c r="A97" s="36" t="s">
        <v>274</v>
      </c>
      <c r="B97">
        <v>1</v>
      </c>
      <c r="D97" s="36" t="s">
        <v>382</v>
      </c>
      <c r="E97" s="1">
        <v>70</v>
      </c>
      <c r="O97" s="36" t="s">
        <v>655</v>
      </c>
      <c r="P97">
        <v>1</v>
      </c>
      <c r="Q97" s="1">
        <v>585</v>
      </c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ht="15" customHeight="1">
      <c r="A98" s="36" t="s">
        <v>356</v>
      </c>
      <c r="B98">
        <v>1</v>
      </c>
      <c r="D98" s="36" t="s">
        <v>319</v>
      </c>
      <c r="E98" s="1">
        <v>58</v>
      </c>
      <c r="O98" s="36" t="s">
        <v>550</v>
      </c>
      <c r="P98">
        <v>1</v>
      </c>
      <c r="Q98" s="1">
        <v>2097</v>
      </c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ht="15" customHeight="1">
      <c r="A99" s="36" t="s">
        <v>354</v>
      </c>
      <c r="B99">
        <v>1</v>
      </c>
      <c r="D99" s="36" t="s">
        <v>321</v>
      </c>
      <c r="E99" s="1">
        <v>58</v>
      </c>
      <c r="O99" s="36" t="s">
        <v>665</v>
      </c>
      <c r="P99">
        <v>1</v>
      </c>
      <c r="Q99" s="1">
        <v>330</v>
      </c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ht="15" customHeight="1">
      <c r="A100" s="36" t="s">
        <v>338</v>
      </c>
      <c r="B100">
        <v>2</v>
      </c>
      <c r="D100" s="36" t="s">
        <v>374</v>
      </c>
      <c r="E100" s="1">
        <v>50</v>
      </c>
      <c r="O100" s="36" t="s">
        <v>454</v>
      </c>
      <c r="P100">
        <v>1</v>
      </c>
      <c r="Q100" s="1">
        <v>190</v>
      </c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ht="15" customHeight="1">
      <c r="A101" s="36" t="s">
        <v>90</v>
      </c>
      <c r="B101">
        <v>7</v>
      </c>
      <c r="D101" s="36" t="s">
        <v>189</v>
      </c>
      <c r="E101" s="1">
        <v>45</v>
      </c>
      <c r="O101" s="36" t="s">
        <v>771</v>
      </c>
      <c r="P101">
        <v>1</v>
      </c>
      <c r="Q101" s="1">
        <v>249</v>
      </c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ht="15" customHeight="1">
      <c r="A102" s="36" t="s">
        <v>30</v>
      </c>
      <c r="B102">
        <v>4</v>
      </c>
      <c r="D102" s="36" t="s">
        <v>74</v>
      </c>
      <c r="E102" s="1">
        <v>45</v>
      </c>
      <c r="O102" s="36" t="s">
        <v>603</v>
      </c>
      <c r="P102">
        <v>1</v>
      </c>
      <c r="Q102" s="1">
        <v>495</v>
      </c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ht="15" customHeight="1">
      <c r="A103" s="36" t="s">
        <v>341</v>
      </c>
      <c r="B103">
        <v>5</v>
      </c>
      <c r="D103" s="36" t="s">
        <v>142</v>
      </c>
      <c r="E103" s="1">
        <v>44</v>
      </c>
      <c r="O103" s="36" t="s">
        <v>853</v>
      </c>
      <c r="P103">
        <v>1</v>
      </c>
      <c r="Q103" s="1">
        <v>120</v>
      </c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ht="15" customHeight="1">
      <c r="A104" s="36" t="s">
        <v>287</v>
      </c>
      <c r="B104">
        <v>1</v>
      </c>
      <c r="D104" s="36" t="s">
        <v>138</v>
      </c>
      <c r="E104" s="1">
        <v>39</v>
      </c>
      <c r="O104" s="36" t="s">
        <v>588</v>
      </c>
      <c r="P104">
        <v>1</v>
      </c>
      <c r="Q104" s="1">
        <v>531</v>
      </c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ht="15" customHeight="1">
      <c r="A105" s="36" t="s">
        <v>361</v>
      </c>
      <c r="B105">
        <v>1</v>
      </c>
      <c r="D105" s="36" t="s">
        <v>144</v>
      </c>
      <c r="E105" s="1">
        <v>34</v>
      </c>
      <c r="O105" s="36" t="s">
        <v>758</v>
      </c>
      <c r="P105">
        <v>2</v>
      </c>
      <c r="Q105" s="1">
        <v>977.2</v>
      </c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ht="15" customHeight="1">
      <c r="A106" s="36" t="s">
        <v>1191</v>
      </c>
      <c r="B106">
        <v>390</v>
      </c>
      <c r="D106" s="36" t="s">
        <v>1191</v>
      </c>
      <c r="E106" s="1">
        <v>44025.669999999991</v>
      </c>
      <c r="O106" s="36" t="s">
        <v>641</v>
      </c>
      <c r="P106">
        <v>1</v>
      </c>
      <c r="Q106" s="1">
        <v>320</v>
      </c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ht="15" customHeight="1">
      <c r="O107" s="36" t="s">
        <v>419</v>
      </c>
      <c r="P107">
        <v>1</v>
      </c>
      <c r="Q107" s="1">
        <v>202.5</v>
      </c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ht="15" customHeight="1">
      <c r="A108" s="65" t="s">
        <v>1188</v>
      </c>
      <c r="B108" s="65"/>
      <c r="D108" s="65" t="s">
        <v>1188</v>
      </c>
      <c r="E108" s="65"/>
      <c r="O108" s="36" t="s">
        <v>893</v>
      </c>
      <c r="P108">
        <v>1</v>
      </c>
      <c r="Q108" s="1">
        <v>80</v>
      </c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15" customHeight="1">
      <c r="O109" s="36" t="s">
        <v>620</v>
      </c>
      <c r="P109">
        <v>1</v>
      </c>
      <c r="Q109" s="1">
        <v>79.599999999999994</v>
      </c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15" customHeight="1">
      <c r="O110" s="36" t="s">
        <v>881</v>
      </c>
      <c r="P110">
        <v>1</v>
      </c>
      <c r="Q110" s="1">
        <v>75</v>
      </c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15" customHeight="1">
      <c r="A111" s="20"/>
      <c r="B111" s="20"/>
      <c r="O111" s="36" t="s">
        <v>636</v>
      </c>
      <c r="P111">
        <v>1</v>
      </c>
      <c r="Q111" s="1">
        <v>95</v>
      </c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15" customHeight="1">
      <c r="A112" s="20"/>
      <c r="B112" s="20"/>
      <c r="O112" s="36" t="s">
        <v>441</v>
      </c>
      <c r="P112">
        <v>1</v>
      </c>
      <c r="Q112" s="1">
        <v>119.99</v>
      </c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15" customHeight="1">
      <c r="A113" s="20"/>
      <c r="B113" s="20"/>
      <c r="O113" s="36" t="s">
        <v>576</v>
      </c>
      <c r="P113">
        <v>1</v>
      </c>
      <c r="Q113" s="1">
        <v>590</v>
      </c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15" customHeight="1">
      <c r="A114" s="20"/>
      <c r="B114" s="20"/>
      <c r="O114" s="36" t="s">
        <v>702</v>
      </c>
      <c r="P114">
        <v>1</v>
      </c>
      <c r="Q114" s="1">
        <v>90</v>
      </c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15" customHeight="1">
      <c r="A115" s="20"/>
      <c r="B115" s="20"/>
      <c r="O115" s="36" t="s">
        <v>789</v>
      </c>
      <c r="P115">
        <v>1</v>
      </c>
      <c r="Q115" s="1">
        <v>237</v>
      </c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ht="15" customHeight="1">
      <c r="O116" s="36" t="s">
        <v>520</v>
      </c>
      <c r="P116">
        <v>1</v>
      </c>
      <c r="Q116" s="1">
        <v>490</v>
      </c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ht="15" customHeight="1">
      <c r="O117" s="36" t="s">
        <v>777</v>
      </c>
      <c r="P117">
        <v>1</v>
      </c>
      <c r="Q117" s="1">
        <v>118</v>
      </c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ht="15" customHeight="1">
      <c r="O118" s="36" t="s">
        <v>850</v>
      </c>
      <c r="P118">
        <v>1</v>
      </c>
      <c r="Q118" s="1">
        <v>850</v>
      </c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ht="15" customHeight="1">
      <c r="O119" s="36" t="s">
        <v>458</v>
      </c>
      <c r="P119">
        <v>2</v>
      </c>
      <c r="Q119" s="1">
        <v>310</v>
      </c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ht="15" customHeight="1">
      <c r="O120" s="36" t="s">
        <v>729</v>
      </c>
      <c r="P120">
        <v>1</v>
      </c>
      <c r="Q120" s="1">
        <v>499</v>
      </c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ht="15" customHeight="1">
      <c r="O121" s="36" t="s">
        <v>877</v>
      </c>
      <c r="P121">
        <v>1</v>
      </c>
      <c r="Q121" s="1">
        <v>300</v>
      </c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ht="15" customHeight="1">
      <c r="O122" s="36" t="s">
        <v>564</v>
      </c>
      <c r="P122">
        <v>1</v>
      </c>
      <c r="Q122" s="1">
        <v>44</v>
      </c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ht="15" customHeight="1">
      <c r="O123" s="36" t="s">
        <v>645</v>
      </c>
      <c r="P123">
        <v>1</v>
      </c>
      <c r="Q123" s="1">
        <v>320</v>
      </c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ht="15" customHeight="1">
      <c r="O124" s="36" t="s">
        <v>484</v>
      </c>
      <c r="P124">
        <v>1</v>
      </c>
      <c r="Q124" s="1">
        <v>110</v>
      </c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ht="15" customHeight="1">
      <c r="O125" s="36" t="s">
        <v>425</v>
      </c>
      <c r="P125">
        <v>2</v>
      </c>
      <c r="Q125" s="1">
        <v>120</v>
      </c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ht="15" customHeight="1">
      <c r="O126" s="36" t="s">
        <v>698</v>
      </c>
      <c r="P126">
        <v>1</v>
      </c>
      <c r="Q126" s="1">
        <v>110</v>
      </c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ht="15" customHeight="1">
      <c r="O127" s="36" t="s">
        <v>823</v>
      </c>
      <c r="P127">
        <v>1</v>
      </c>
      <c r="Q127" s="1">
        <v>524.25</v>
      </c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ht="15" customHeight="1">
      <c r="O128" s="36" t="s">
        <v>595</v>
      </c>
      <c r="P128">
        <v>1</v>
      </c>
      <c r="Q128" s="1">
        <v>323</v>
      </c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5:36" ht="15" customHeight="1">
      <c r="O129" s="36" t="s">
        <v>746</v>
      </c>
      <c r="P129">
        <v>1</v>
      </c>
      <c r="Q129" s="1">
        <v>147</v>
      </c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5:36" ht="15" customHeight="1">
      <c r="O130" s="36" t="s">
        <v>449</v>
      </c>
      <c r="P130">
        <v>2</v>
      </c>
      <c r="Q130" s="1">
        <v>178.5</v>
      </c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5:36" ht="15" customHeight="1">
      <c r="O131" s="36" t="s">
        <v>900</v>
      </c>
      <c r="P131">
        <v>1</v>
      </c>
      <c r="Q131" s="1">
        <v>158</v>
      </c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5:36" ht="15" customHeight="1">
      <c r="O132" s="36" t="s">
        <v>786</v>
      </c>
      <c r="P132">
        <v>1</v>
      </c>
      <c r="Q132" s="1">
        <v>758.1</v>
      </c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5:36" ht="15" customHeight="1">
      <c r="O133" s="36" t="s">
        <v>726</v>
      </c>
      <c r="P133">
        <v>1</v>
      </c>
      <c r="Q133" s="1">
        <v>499</v>
      </c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5:36" ht="15" customHeight="1">
      <c r="O134" s="36" t="s">
        <v>572</v>
      </c>
      <c r="P134">
        <v>1</v>
      </c>
      <c r="Q134" s="1">
        <v>111.75</v>
      </c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5:36" ht="15" customHeight="1">
      <c r="O135" s="36" t="s">
        <v>903</v>
      </c>
      <c r="P135">
        <v>1</v>
      </c>
      <c r="Q135" s="1">
        <v>158</v>
      </c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5:36" ht="15" customHeight="1">
      <c r="O136" s="36" t="s">
        <v>1191</v>
      </c>
      <c r="P136">
        <v>145</v>
      </c>
      <c r="Q136" s="1">
        <v>44025.669999999991</v>
      </c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J136" s="16"/>
    </row>
    <row r="137" spans="15:36" ht="15" customHeight="1">
      <c r="O137" s="65" t="s">
        <v>1188</v>
      </c>
      <c r="P137" s="65"/>
      <c r="Q137" s="65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I137" s="16"/>
    </row>
  </sheetData>
  <mergeCells count="21">
    <mergeCell ref="AA16:AC16"/>
    <mergeCell ref="G19:H19"/>
    <mergeCell ref="AE25:AF25"/>
    <mergeCell ref="A108:B108"/>
    <mergeCell ref="O137:Q137"/>
    <mergeCell ref="D108:E108"/>
    <mergeCell ref="AK1:AL2"/>
    <mergeCell ref="AH10:AI10"/>
    <mergeCell ref="S11:T11"/>
    <mergeCell ref="V14:Y14"/>
    <mergeCell ref="J15:M15"/>
    <mergeCell ref="S1:T2"/>
    <mergeCell ref="V1:Y2"/>
    <mergeCell ref="AA1:AC2"/>
    <mergeCell ref="AE1:AF2"/>
    <mergeCell ref="AH1:AI2"/>
    <mergeCell ref="A1:B2"/>
    <mergeCell ref="D1:E2"/>
    <mergeCell ref="G1:H2"/>
    <mergeCell ref="J1:M2"/>
    <mergeCell ref="O1:Q2"/>
  </mergeCells>
  <pageMargins left="0.7" right="0.7" top="0.75" bottom="0.75" header="0.511811023622047" footer="0.511811023622047"/>
  <pageSetup paperSize="9" orientation="portrait" horizontalDpi="300" verticalDpi="300"/>
  <drawing r:id="rId9"/>
  <tableParts count="3">
    <tablePart r:id="rId10"/>
    <tablePart r:id="rId11"/>
    <tablePart r:id="rId1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B1:AI61"/>
  <sheetViews>
    <sheetView showGridLines="0" tabSelected="1" zoomScaleNormal="100" workbookViewId="0">
      <pane xSplit="1" ySplit="5" topLeftCell="B6" activePane="bottomRight" state="frozen"/>
      <selection pane="bottomRight" activeCell="K7" sqref="K7:M7"/>
      <selection pane="bottomLeft" activeCell="A20" sqref="A20"/>
      <selection pane="topRight" activeCell="B1" sqref="B1"/>
    </sheetView>
  </sheetViews>
  <sheetFormatPr defaultColWidth="8.5703125" defaultRowHeight="15" customHeight="1"/>
  <cols>
    <col min="1" max="1" width="2" customWidth="1"/>
    <col min="2" max="17" width="12" customWidth="1"/>
  </cols>
  <sheetData>
    <row r="1" spans="2:17" ht="27.75" customHeight="1">
      <c r="B1" s="52" t="s">
        <v>1195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</row>
    <row r="2" spans="2:17" ht="18" customHeight="1">
      <c r="B2" s="53" t="s">
        <v>1196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2:17" ht="16.5" customHeight="1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2:17" ht="16.5" customHeight="1">
      <c r="B4" s="54" t="s">
        <v>1197</v>
      </c>
      <c r="C4" s="54"/>
      <c r="D4" s="54" t="s">
        <v>1198</v>
      </c>
      <c r="E4" s="54"/>
      <c r="F4" s="54" t="s">
        <v>946</v>
      </c>
      <c r="G4" s="54"/>
      <c r="H4" s="54" t="s">
        <v>2</v>
      </c>
      <c r="I4" s="54"/>
      <c r="J4" s="54" t="s">
        <v>947</v>
      </c>
      <c r="K4" s="54"/>
      <c r="L4" s="55" t="s">
        <v>1199</v>
      </c>
      <c r="M4" s="55"/>
      <c r="N4" s="55"/>
      <c r="O4" s="55"/>
      <c r="P4" s="55"/>
      <c r="Q4" s="55"/>
    </row>
    <row r="5" spans="2:17" ht="19.5" customHeight="1">
      <c r="B5" s="56" t="s">
        <v>1200</v>
      </c>
      <c r="C5" s="56"/>
      <c r="D5" s="56" t="s">
        <v>1200</v>
      </c>
      <c r="E5" s="56"/>
      <c r="F5" s="56" t="s">
        <v>1200</v>
      </c>
      <c r="G5" s="56"/>
      <c r="H5" s="56" t="s">
        <v>1200</v>
      </c>
      <c r="I5" s="56"/>
      <c r="J5" s="56" t="s">
        <v>1200</v>
      </c>
      <c r="K5" s="56"/>
      <c r="L5" s="55"/>
      <c r="M5" s="55"/>
      <c r="N5" s="55"/>
      <c r="O5" s="55"/>
      <c r="P5" s="55"/>
      <c r="Q5" s="55"/>
    </row>
    <row r="6" spans="2:17" ht="16.5" customHeight="1"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</row>
    <row r="7" spans="2:17" ht="16.5" customHeight="1">
      <c r="B7" s="58" t="s">
        <v>1201</v>
      </c>
      <c r="C7" s="58"/>
      <c r="D7" s="58"/>
      <c r="E7" s="58" t="s">
        <v>1202</v>
      </c>
      <c r="F7" s="58"/>
      <c r="G7" s="58"/>
      <c r="H7" s="58" t="s">
        <v>1203</v>
      </c>
      <c r="I7" s="58"/>
      <c r="J7" s="58"/>
      <c r="K7" s="58" t="s">
        <v>1204</v>
      </c>
      <c r="L7" s="58"/>
      <c r="M7" s="58"/>
      <c r="N7" s="58" t="s">
        <v>1205</v>
      </c>
      <c r="O7" s="58"/>
      <c r="P7" s="58"/>
      <c r="Q7" s="58"/>
    </row>
    <row r="8" spans="2:17" ht="16.5" customHeight="1">
      <c r="B8" s="60">
        <f>SUMIFS('Dados Tratados'!$L$2:$L$151,'Dados Tratados'!$T$2:$T$151,1)</f>
        <v>43226.669999999991</v>
      </c>
      <c r="C8" s="60"/>
      <c r="D8" s="60"/>
      <c r="E8" s="61">
        <f>COUNTIFS('Dados Tratados'!$T$2:$T$151,1)</f>
        <v>140</v>
      </c>
      <c r="F8" s="61"/>
      <c r="G8" s="61"/>
      <c r="H8" s="62">
        <f>SUMIFS('Dados Tratados'!$U$2:$U$151,'Dados Tratados'!$U$2:$U$151,1)</f>
        <v>135</v>
      </c>
      <c r="I8" s="62"/>
      <c r="J8" s="62"/>
      <c r="K8" s="63">
        <f>IFERROR(B8/E8,0)</f>
        <v>308.76192857142848</v>
      </c>
      <c r="L8" s="63"/>
      <c r="M8" s="63"/>
      <c r="N8" s="57">
        <f>IFERROR(SUMIFS('Dados Tratados'!$K$2:$K$151,'Dados Tratados'!$T$2:$T$151,1,'Dados Tratados'!$K$2:$K$151,"&gt;0")/COUNTIFS('Dados Tratados'!$T$2:$T$151,1,'Dados Tratados'!$K$2:$K$151,"&gt;0")/100,0)</f>
        <v>0.15</v>
      </c>
      <c r="O8" s="57"/>
      <c r="P8" s="57"/>
      <c r="Q8" s="57"/>
    </row>
    <row r="9" spans="2:17" ht="16.5" customHeight="1">
      <c r="B9" s="60"/>
      <c r="C9" s="60"/>
      <c r="D9" s="60"/>
      <c r="E9" s="61"/>
      <c r="F9" s="61"/>
      <c r="G9" s="61"/>
      <c r="H9" s="62"/>
      <c r="I9" s="62"/>
      <c r="J9" s="62"/>
      <c r="K9" s="63"/>
      <c r="L9" s="63"/>
      <c r="M9" s="63"/>
      <c r="N9" s="57"/>
      <c r="O9" s="57"/>
      <c r="P9" s="57"/>
      <c r="Q9" s="57"/>
    </row>
    <row r="10" spans="2:17" ht="15.75" customHeight="1"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</row>
    <row r="11" spans="2:17" ht="15.75" customHeight="1"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</row>
    <row r="12" spans="2:17" ht="15.75" customHeight="1"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</row>
    <row r="13" spans="2:17" ht="15.75" customHeight="1"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</row>
    <row r="14" spans="2:17" ht="15.75" customHeight="1"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</row>
    <row r="15" spans="2:17" ht="15.75" customHeight="1"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</row>
    <row r="16" spans="2:17" ht="15.75" customHeight="1"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</row>
    <row r="17" spans="2:17" ht="15.75" customHeight="1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</row>
    <row r="18" spans="2:17" ht="15.75" customHeight="1"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</row>
    <row r="19" spans="2:17" ht="15.75" customHeight="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</row>
    <row r="20" spans="2:17" ht="15.75" customHeight="1"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</row>
    <row r="21" spans="2:17" ht="15.75" customHeight="1"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</row>
    <row r="22" spans="2:17" ht="15.75" customHeight="1"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</row>
    <row r="23" spans="2:17" ht="15.75" customHeight="1"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</row>
    <row r="24" spans="2:17" ht="15.75" customHeight="1"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</row>
    <row r="25" spans="2:17" ht="15.75" customHeight="1"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</row>
    <row r="26" spans="2:17" ht="15.75" customHeight="1"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</row>
    <row r="27" spans="2:17" ht="15.75" customHeight="1"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</row>
    <row r="28" spans="2:17" ht="15.75" customHeight="1"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</row>
    <row r="29" spans="2:17" ht="15.75" customHeight="1"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</row>
    <row r="30" spans="2:17" ht="15.75" customHeight="1"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</row>
    <row r="31" spans="2:17" ht="15.75" customHeight="1"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</row>
    <row r="32" spans="2:17" ht="15.75" customHeight="1"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</row>
    <row r="33" spans="2:35" ht="15.75" customHeight="1"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</row>
    <row r="34" spans="2:35" ht="15.75" customHeight="1"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</row>
    <row r="35" spans="2:35" ht="15.75" customHeight="1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</row>
    <row r="36" spans="2:35" ht="16.5" customHeight="1"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</row>
    <row r="37" spans="2:35" ht="16.5" customHeight="1"/>
    <row r="38" spans="2:35" ht="16.5" customHeight="1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</row>
    <row r="39" spans="2:35" ht="16.5" customHeight="1">
      <c r="B39" s="59" t="s">
        <v>1206</v>
      </c>
      <c r="C39" s="59"/>
      <c r="D39" s="59"/>
      <c r="E39" s="59"/>
      <c r="F39" s="59" t="s">
        <v>1207</v>
      </c>
      <c r="G39" s="59"/>
      <c r="H39" s="59"/>
      <c r="I39" s="59"/>
      <c r="J39" s="59"/>
      <c r="K39" s="59"/>
      <c r="L39" s="21"/>
      <c r="M39" s="18"/>
      <c r="N39" s="18"/>
      <c r="O39" s="18"/>
      <c r="P39" s="18"/>
      <c r="Q39" s="18"/>
    </row>
    <row r="40" spans="2:35" ht="16.5" customHeight="1">
      <c r="B40" s="22" t="s">
        <v>1</v>
      </c>
      <c r="C40" s="22" t="s">
        <v>1208</v>
      </c>
      <c r="D40" s="22" t="s">
        <v>1209</v>
      </c>
      <c r="E40" s="18"/>
      <c r="F40" s="22" t="s">
        <v>947</v>
      </c>
      <c r="G40" s="22" t="s">
        <v>1210</v>
      </c>
      <c r="H40" s="22" t="s">
        <v>1209</v>
      </c>
      <c r="I40" s="18"/>
      <c r="J40" s="18"/>
      <c r="K40" s="18"/>
      <c r="L40" s="18"/>
      <c r="M40" s="18"/>
      <c r="N40" s="18"/>
      <c r="O40" s="18"/>
      <c r="P40" s="18"/>
      <c r="Q40" s="18"/>
    </row>
    <row r="41" spans="2:35" ht="16.5" customHeight="1">
      <c r="B41" s="23" t="str">
        <f>IFERROR(INDEX(Aux_Dashboard!$K$2:$K$108,MATCH(1,Aux_Dashboard!$N$2:$N$108,0)),"")</f>
        <v>Cabo HDMI 2m</v>
      </c>
      <c r="C41" s="23">
        <f>IFERROR(INDEX(Aux_Dashboard!$L$2:$L$108,MATCH(1,Aux_Dashboard!$N$2:$N$108,0)),0)</f>
        <v>35</v>
      </c>
      <c r="D41" s="24">
        <f>IFERROR(INDEX(Aux_Dashboard!$M$2:$M$108,MATCH(1,Aux_Dashboard!$N$2:$N$108,0)),0)</f>
        <v>420</v>
      </c>
      <c r="E41" s="18"/>
      <c r="F41" s="23" t="str">
        <f>IFERROR(INDEX(Aux_Dashboard!$P$2:$P$9,MATCH(1,Aux_Dashboard!$S$2:$S$9,0)),"")</f>
        <v>Ana</v>
      </c>
      <c r="G41" s="23">
        <f>IFERROR(INDEX(Aux_Dashboard!$R$2:$R$9,MATCH(1,Aux_Dashboard!$S$2:$S$9,0)),0)</f>
        <v>34</v>
      </c>
      <c r="H41" s="24">
        <f>IFERROR(INDEX(Aux_Dashboard!$Q$2:$Q$9,MATCH(1,Aux_Dashboard!$S$2:$S$9,0)),0)</f>
        <v>9880.7000000000007</v>
      </c>
      <c r="I41" s="18"/>
      <c r="J41" s="18"/>
      <c r="K41" s="18"/>
      <c r="L41" s="18"/>
      <c r="M41" s="18"/>
      <c r="N41" s="18"/>
      <c r="O41" s="18"/>
      <c r="P41" s="18"/>
      <c r="Q41" s="18"/>
    </row>
    <row r="42" spans="2:35" ht="16.5" customHeight="1">
      <c r="B42" s="23" t="str">
        <f>IFERROR(INDEX(Aux_Dashboard!$K$2:$K$108,MATCH(2,Aux_Dashboard!$N$2:$N$108,0)),"")</f>
        <v>Notebook A5</v>
      </c>
      <c r="C42" s="23">
        <f>IFERROR(INDEX(Aux_Dashboard!$L$2:$L$108,MATCH(2,Aux_Dashboard!$N$2:$N$108,0)),0)</f>
        <v>35</v>
      </c>
      <c r="D42" s="24">
        <f>IFERROR(INDEX(Aux_Dashboard!$M$2:$M$108,MATCH(2,Aux_Dashboard!$N$2:$N$108,0)),0)</f>
        <v>157.5</v>
      </c>
      <c r="E42" s="18"/>
      <c r="F42" s="23" t="str">
        <f>IFERROR(INDEX(Aux_Dashboard!$P$2:$P$9,MATCH(2,Aux_Dashboard!$S$2:$S$9,0)),"")</f>
        <v>Carlos</v>
      </c>
      <c r="G42" s="23">
        <f>IFERROR(INDEX(Aux_Dashboard!$R$2:$R$9,MATCH(2,Aux_Dashboard!$S$2:$S$9,0)),0)</f>
        <v>34</v>
      </c>
      <c r="H42" s="24">
        <f>IFERROR(INDEX(Aux_Dashboard!$Q$2:$Q$9,MATCH(2,Aux_Dashboard!$S$2:$S$9,0)),0)</f>
        <v>9421.7799999999988</v>
      </c>
      <c r="I42" s="18"/>
      <c r="J42" s="18"/>
      <c r="K42" s="18"/>
      <c r="L42" s="18"/>
      <c r="M42" s="18"/>
      <c r="N42" s="18"/>
      <c r="O42" s="18"/>
      <c r="P42" s="18"/>
      <c r="Q42" s="18"/>
    </row>
    <row r="43" spans="2:35" ht="16.5" customHeight="1">
      <c r="B43" s="23" t="str">
        <f>IFERROR(INDEX(Aux_Dashboard!$K$2:$K$108,MATCH(3,Aux_Dashboard!$N$2:$N$108,0)),"")</f>
        <v>Cabo HDMI 2 Metros</v>
      </c>
      <c r="C43" s="23">
        <f>IFERROR(INDEX(Aux_Dashboard!$L$2:$L$108,MATCH(3,Aux_Dashboard!$N$2:$N$108,0)),0)</f>
        <v>33</v>
      </c>
      <c r="D43" s="24">
        <f>IFERROR(INDEX(Aux_Dashboard!$M$2:$M$108,MATCH(3,Aux_Dashboard!$N$2:$N$108,0)),0)</f>
        <v>396</v>
      </c>
      <c r="E43" s="18"/>
      <c r="F43" s="23" t="str">
        <f>IFERROR(INDEX(Aux_Dashboard!$P$2:$P$9,MATCH(3,Aux_Dashboard!$S$2:$S$9,0)),"")</f>
        <v>João</v>
      </c>
      <c r="G43" s="23">
        <f>IFERROR(INDEX(Aux_Dashboard!$R$2:$R$9,MATCH(3,Aux_Dashboard!$S$2:$S$9,0)),0)</f>
        <v>26</v>
      </c>
      <c r="H43" s="24">
        <f>IFERROR(INDEX(Aux_Dashboard!$Q$2:$Q$9,MATCH(3,Aux_Dashboard!$S$2:$S$9,0)),0)</f>
        <v>6856.29</v>
      </c>
      <c r="I43" s="18"/>
      <c r="J43" s="18"/>
      <c r="K43" s="18"/>
      <c r="L43" s="18"/>
      <c r="M43" s="18"/>
      <c r="N43" s="18"/>
      <c r="O43" s="18"/>
      <c r="P43" s="18"/>
      <c r="Q43" s="18"/>
    </row>
    <row r="44" spans="2:35" ht="16.5" customHeight="1">
      <c r="B44" s="23" t="str">
        <f>IFERROR(INDEX(Aux_Dashboard!$K$2:$K$108,MATCH(4,Aux_Dashboard!$N$2:$N$108,0)),"")</f>
        <v>Rato Ótico</v>
      </c>
      <c r="C44" s="23">
        <f>IFERROR(INDEX(Aux_Dashboard!$L$2:$L$108,MATCH(4,Aux_Dashboard!$N$2:$N$108,0)),0)</f>
        <v>24</v>
      </c>
      <c r="D44" s="24">
        <f>IFERROR(INDEX(Aux_Dashboard!$M$2:$M$108,MATCH(4,Aux_Dashboard!$N$2:$N$108,0)),0)</f>
        <v>580</v>
      </c>
      <c r="E44" s="18"/>
      <c r="F44" s="23" t="str">
        <f>IFERROR(INDEX(Aux_Dashboard!$P$2:$P$9,MATCH(4,Aux_Dashboard!$S$2:$S$9,0)),"")</f>
        <v>Miguel</v>
      </c>
      <c r="G44" s="23">
        <f>IFERROR(INDEX(Aux_Dashboard!$R$2:$R$9,MATCH(4,Aux_Dashboard!$S$2:$S$9,0)),0)</f>
        <v>18</v>
      </c>
      <c r="H44" s="24">
        <f>IFERROR(INDEX(Aux_Dashboard!$Q$2:$Q$9,MATCH(4,Aux_Dashboard!$S$2:$S$9,0)),0)</f>
        <v>6588.7000000000007</v>
      </c>
      <c r="I44" s="18"/>
      <c r="J44" s="18"/>
      <c r="K44" s="18"/>
      <c r="L44" s="18"/>
      <c r="M44" s="18"/>
      <c r="N44" s="18"/>
      <c r="O44" s="18"/>
      <c r="P44" s="18"/>
      <c r="Q44" s="18"/>
    </row>
    <row r="45" spans="2:35" ht="15" customHeight="1">
      <c r="B45" s="23" t="str">
        <f>IFERROR(INDEX(Aux_Dashboard!$K$2:$K$108,MATCH(5,Aux_Dashboard!$N$2:$N$108,0)),"")</f>
        <v>Tinteiro Preto</v>
      </c>
      <c r="C45" s="23">
        <f>IFERROR(INDEX(Aux_Dashboard!$L$2:$L$108,MATCH(5,Aux_Dashboard!$N$2:$N$108,0)),0)</f>
        <v>14</v>
      </c>
      <c r="D45" s="24">
        <f>IFERROR(INDEX(Aux_Dashboard!$M$2:$M$108,MATCH(5,Aux_Dashboard!$N$2:$N$108,0)),0)</f>
        <v>402.5</v>
      </c>
      <c r="E45" s="18"/>
      <c r="F45" s="23" t="str">
        <f>IFERROR(INDEX(Aux_Dashboard!$P$2:$P$9,MATCH(5,Aux_Dashboard!$S$2:$S$9,0)),"")</f>
        <v>Patrícia</v>
      </c>
      <c r="G45" s="23">
        <f>IFERROR(INDEX(Aux_Dashboard!$R$2:$R$9,MATCH(5,Aux_Dashboard!$S$2:$S$9,0)),0)</f>
        <v>13</v>
      </c>
      <c r="H45" s="24">
        <f>IFERROR(INDEX(Aux_Dashboard!$Q$2:$Q$9,MATCH(5,Aux_Dashboard!$S$2:$S$9,0)),0)</f>
        <v>4523.1499999999996</v>
      </c>
      <c r="I45" s="18"/>
      <c r="J45" s="18"/>
      <c r="K45" s="18"/>
      <c r="L45" s="18"/>
      <c r="M45" s="18"/>
      <c r="N45" s="18"/>
      <c r="O45" s="18"/>
      <c r="P45" s="18"/>
      <c r="Q45" s="18"/>
    </row>
    <row r="46" spans="2:35" ht="15" customHeight="1">
      <c r="B46" s="25"/>
      <c r="C46" s="18"/>
      <c r="D46" s="18"/>
      <c r="E46" s="18"/>
      <c r="F46" s="18"/>
      <c r="G46" s="25"/>
      <c r="H46" s="18"/>
      <c r="I46" s="18"/>
      <c r="J46" s="18"/>
      <c r="K46" s="18"/>
      <c r="L46" s="18"/>
      <c r="M46" s="18"/>
      <c r="N46" s="18"/>
      <c r="O46" s="18"/>
      <c r="P46" s="18"/>
      <c r="Q46" s="18"/>
    </row>
    <row r="47" spans="2:35" ht="15" customHeight="1">
      <c r="B47" s="67" t="s">
        <v>1211</v>
      </c>
      <c r="C47" s="67"/>
      <c r="D47" s="67"/>
      <c r="E47" s="67"/>
      <c r="F47" s="67"/>
      <c r="G47" s="67" t="s">
        <v>1212</v>
      </c>
      <c r="H47" s="67"/>
      <c r="I47" s="67"/>
      <c r="J47" s="67"/>
      <c r="K47" s="67"/>
      <c r="L47" s="18"/>
      <c r="M47" s="18"/>
      <c r="N47" s="18"/>
      <c r="O47" s="18"/>
      <c r="P47" s="18"/>
      <c r="Q47" s="18"/>
    </row>
    <row r="48" spans="2:35" ht="15" customHeight="1"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</row>
    <row r="49" spans="2:17" ht="15" customHeight="1"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</row>
    <row r="50" spans="2:17" ht="15" customHeight="1">
      <c r="B50" s="18"/>
      <c r="C50" s="18"/>
      <c r="D50" s="18"/>
      <c r="E50" s="18"/>
    </row>
    <row r="51" spans="2:17" ht="15" customHeight="1">
      <c r="B51" s="18"/>
      <c r="C51" s="18"/>
      <c r="D51" s="18"/>
      <c r="E51" s="18"/>
    </row>
    <row r="56" spans="2:17" ht="30" customHeight="1"/>
    <row r="59" spans="2:17" ht="15" customHeight="1">
      <c r="B59" s="12"/>
      <c r="J59" s="12"/>
    </row>
    <row r="61" spans="2:17" ht="15" customHeight="1">
      <c r="B61" s="12"/>
      <c r="C61" s="12"/>
      <c r="D61" s="12"/>
      <c r="J61" s="12"/>
      <c r="K61" s="12"/>
      <c r="L61" s="12"/>
      <c r="M61" s="12"/>
    </row>
  </sheetData>
  <mergeCells count="27">
    <mergeCell ref="B39:E39"/>
    <mergeCell ref="F39:K39"/>
    <mergeCell ref="B47:F47"/>
    <mergeCell ref="G47:K47"/>
    <mergeCell ref="B8:D9"/>
    <mergeCell ref="E8:G9"/>
    <mergeCell ref="H8:J9"/>
    <mergeCell ref="K8:M9"/>
    <mergeCell ref="N8:Q9"/>
    <mergeCell ref="B7:D7"/>
    <mergeCell ref="E7:G7"/>
    <mergeCell ref="H7:J7"/>
    <mergeCell ref="K7:M7"/>
    <mergeCell ref="N7:Q7"/>
    <mergeCell ref="B1:Q1"/>
    <mergeCell ref="B2:Q3"/>
    <mergeCell ref="B4:C4"/>
    <mergeCell ref="D4:E4"/>
    <mergeCell ref="F4:G4"/>
    <mergeCell ref="H4:I4"/>
    <mergeCell ref="J4:K4"/>
    <mergeCell ref="L4:Q5"/>
    <mergeCell ref="B5:C5"/>
    <mergeCell ref="D5:E5"/>
    <mergeCell ref="F5:G5"/>
    <mergeCell ref="H5:I5"/>
    <mergeCell ref="J5:K5"/>
  </mergeCells>
  <dataValidations count="5">
    <dataValidation type="list" errorTitle="Filtro inválido" error="Seleciona um valor da lista." sqref="B5" xr:uid="{00000000-0002-0000-0500-000000000000}">
      <formula1>PeriodoLista</formula1>
      <formula2>0</formula2>
    </dataValidation>
    <dataValidation type="list" errorTitle="Filtro inválido" error="Seleciona um valor da lista." sqref="D5" xr:uid="{00000000-0002-0000-0500-000001000000}">
      <formula1>MesLista</formula1>
      <formula2>0</formula2>
    </dataValidation>
    <dataValidation type="list" errorTitle="Filtro inválido" error="Seleciona um valor da lista." sqref="F5" xr:uid="{00000000-0002-0000-0500-000002000000}">
      <formula1>CanalLista</formula1>
      <formula2>0</formula2>
    </dataValidation>
    <dataValidation type="list" errorTitle="Filtro inválido" error="Seleciona um valor da lista." sqref="H5" xr:uid="{00000000-0002-0000-0500-000003000000}">
      <formula1>CategoriaLista</formula1>
      <formula2>0</formula2>
    </dataValidation>
    <dataValidation type="list" errorTitle="Filtro inválido" error="Seleciona um valor da lista." sqref="J5" xr:uid="{00000000-0002-0000-0500-000004000000}">
      <formula1>VendedorLista</formula1>
      <formula2>0</formula2>
    </dataValidation>
  </dataValidations>
  <pageMargins left="0.7" right="0.7" top="0.75" bottom="0.75" header="0.511811023622047" footer="0.511811023622047"/>
  <pageSetup orientation="landscape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3" name="Button 6">
              <controlPr defaultSize="0" print="0" autoFill="0" autoPict="0" macro="[0]!LimparFiltros">
                <anchor moveWithCells="1" sizeWithCells="1">
                  <from>
                    <xdr:col>11</xdr:col>
                    <xdr:colOff>9525</xdr:colOff>
                    <xdr:row>3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AtualizarProjeto">
                <anchor moveWithCells="1" sizeWithCells="1">
                  <from>
                    <xdr:col>11</xdr:col>
                    <xdr:colOff>19050</xdr:colOff>
                    <xdr:row>3</xdr:row>
                    <xdr:rowOff>19050</xdr:rowOff>
                  </from>
                  <to>
                    <xdr:col>11</xdr:col>
                    <xdr:colOff>704850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3"/>
  <sheetViews>
    <sheetView zoomScaleNormal="100" workbookViewId="0">
      <selection activeCell="F8" sqref="F8"/>
    </sheetView>
  </sheetViews>
  <sheetFormatPr defaultColWidth="8.5703125" defaultRowHeight="15" customHeight="1"/>
  <cols>
    <col min="1" max="1" width="108.85546875" customWidth="1"/>
    <col min="2" max="2" width="15" customWidth="1"/>
    <col min="3" max="10" width="11.28515625" customWidth="1"/>
    <col min="11" max="11" width="12.28515625" customWidth="1"/>
  </cols>
  <sheetData>
    <row r="1" spans="1:11" ht="18" customHeight="1" thickBot="1">
      <c r="A1" s="34" t="s">
        <v>1213</v>
      </c>
    </row>
    <row r="2" spans="1:11" ht="29.25" customHeight="1">
      <c r="A2" s="38" t="s">
        <v>1214</v>
      </c>
    </row>
    <row r="3" spans="1:11" ht="45" customHeight="1">
      <c r="A3" s="39" t="s">
        <v>1215</v>
      </c>
    </row>
    <row r="4" spans="1:11" ht="60" customHeight="1">
      <c r="A4" s="38" t="s">
        <v>1216</v>
      </c>
    </row>
    <row r="6" spans="1:11" ht="15" customHeight="1" thickBot="1">
      <c r="E6" s="18"/>
    </row>
    <row r="7" spans="1:11" ht="18" customHeight="1" thickBot="1">
      <c r="A7" s="34" t="s">
        <v>1217</v>
      </c>
    </row>
    <row r="8" spans="1:11" ht="59.25" customHeight="1">
      <c r="A8" s="40" t="s">
        <v>1218</v>
      </c>
      <c r="B8" s="26"/>
      <c r="C8" s="26"/>
      <c r="D8" s="26"/>
      <c r="E8" s="26"/>
      <c r="F8" s="26"/>
      <c r="G8" s="26"/>
      <c r="H8" s="26"/>
      <c r="I8" s="26"/>
      <c r="J8" s="26"/>
      <c r="K8" s="26"/>
    </row>
    <row r="10" spans="1:11" ht="15" customHeight="1" thickBot="1"/>
    <row r="11" spans="1:11" ht="18" customHeight="1" thickBot="1">
      <c r="A11" s="34" t="s">
        <v>1219</v>
      </c>
    </row>
    <row r="12" spans="1:11" ht="15" customHeight="1">
      <c r="A12" s="41" t="s">
        <v>1220</v>
      </c>
      <c r="B12" s="18"/>
      <c r="C12" s="18"/>
      <c r="D12" s="18"/>
      <c r="E12" s="18"/>
      <c r="F12" s="18"/>
      <c r="G12" s="18"/>
    </row>
    <row r="13" spans="1:11" ht="15" customHeight="1">
      <c r="A13" s="41" t="s">
        <v>1221</v>
      </c>
      <c r="B13" s="18"/>
      <c r="C13" s="18"/>
      <c r="D13" s="18"/>
      <c r="E13" s="18"/>
      <c r="F13" s="18"/>
      <c r="G13" s="18"/>
    </row>
    <row r="14" spans="1:11" ht="15" customHeight="1">
      <c r="A14" s="41" t="s">
        <v>1222</v>
      </c>
      <c r="B14" s="18"/>
      <c r="C14" s="18"/>
      <c r="D14" s="18"/>
      <c r="E14" s="18"/>
      <c r="F14" s="18"/>
      <c r="G14" s="18"/>
    </row>
    <row r="15" spans="1:11" ht="15" customHeight="1">
      <c r="A15" s="41" t="s">
        <v>1223</v>
      </c>
      <c r="B15" s="18"/>
      <c r="C15" s="18"/>
      <c r="D15" s="18"/>
      <c r="E15" s="18"/>
      <c r="F15" s="18"/>
      <c r="G15" s="18"/>
    </row>
    <row r="16" spans="1:11" ht="15" customHeight="1">
      <c r="A16" s="41" t="s">
        <v>1224</v>
      </c>
      <c r="B16" s="18"/>
      <c r="C16" s="18"/>
      <c r="D16" s="18"/>
      <c r="E16" s="18"/>
      <c r="F16" s="18"/>
      <c r="G16" s="18"/>
    </row>
    <row r="17" spans="1:11" ht="15" customHeight="1">
      <c r="A17" s="41" t="s">
        <v>1225</v>
      </c>
      <c r="B17" s="18"/>
      <c r="C17" s="18"/>
      <c r="D17" s="18"/>
      <c r="E17" s="18"/>
      <c r="F17" s="18"/>
      <c r="G17" s="18"/>
    </row>
    <row r="18" spans="1:11" ht="15" customHeight="1">
      <c r="A18" s="42" t="s">
        <v>1226</v>
      </c>
      <c r="B18" s="18"/>
      <c r="C18" s="18"/>
      <c r="D18" s="18"/>
      <c r="E18" s="18"/>
      <c r="F18" s="18"/>
      <c r="G18" s="18"/>
    </row>
    <row r="20" spans="1:11" ht="15" customHeight="1" thickBot="1"/>
    <row r="21" spans="1:11" ht="18" customHeight="1" thickBot="1">
      <c r="A21" s="34" t="s">
        <v>1227</v>
      </c>
    </row>
    <row r="22" spans="1:11" ht="15" customHeight="1">
      <c r="A22" s="40" t="s">
        <v>1228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ht="15" customHeight="1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</sheetData>
  <pageMargins left="0.7" right="0.7" top="0.75" bottom="0.75" header="0.511811023622047" footer="0.511811023622047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11"/>
  <sheetViews>
    <sheetView zoomScaleNormal="100" workbookViewId="0">
      <selection activeCell="J10" sqref="J10"/>
    </sheetView>
  </sheetViews>
  <sheetFormatPr defaultColWidth="8.5703125" defaultRowHeight="15" customHeight="1"/>
  <cols>
    <col min="1" max="1" width="5.42578125" customWidth="1"/>
    <col min="2" max="2" width="55.42578125" customWidth="1"/>
    <col min="3" max="3" width="26.5703125" customWidth="1"/>
    <col min="4" max="4" width="30.28515625" customWidth="1"/>
    <col min="5" max="5" width="26.42578125" customWidth="1"/>
    <col min="6" max="6" width="15.42578125" customWidth="1"/>
  </cols>
  <sheetData>
    <row r="1" spans="1:6" ht="15" customHeight="1" thickBot="1">
      <c r="A1" s="27" t="s">
        <v>1229</v>
      </c>
      <c r="B1" s="28" t="s">
        <v>1230</v>
      </c>
      <c r="C1" s="29" t="s">
        <v>1231</v>
      </c>
      <c r="D1" s="29" t="s">
        <v>1232</v>
      </c>
      <c r="E1" s="29" t="s">
        <v>1233</v>
      </c>
      <c r="F1" s="30" t="s">
        <v>1234</v>
      </c>
    </row>
    <row r="2" spans="1:6" ht="15" customHeight="1">
      <c r="A2" s="31">
        <v>1</v>
      </c>
      <c r="B2" s="43" t="s">
        <v>1235</v>
      </c>
      <c r="C2" s="44" t="s">
        <v>1236</v>
      </c>
      <c r="D2" s="44" t="s">
        <v>1237</v>
      </c>
      <c r="E2" s="44" t="s">
        <v>1238</v>
      </c>
      <c r="F2" s="45" t="s">
        <v>1239</v>
      </c>
    </row>
    <row r="3" spans="1:6" ht="15" customHeight="1">
      <c r="A3" s="32">
        <v>2</v>
      </c>
      <c r="B3" s="46" t="s">
        <v>1240</v>
      </c>
      <c r="C3" s="47" t="s">
        <v>1241</v>
      </c>
      <c r="D3" s="47" t="s">
        <v>1242</v>
      </c>
      <c r="E3" s="47" t="s">
        <v>1243</v>
      </c>
      <c r="F3" s="48" t="s">
        <v>1239</v>
      </c>
    </row>
    <row r="4" spans="1:6" ht="15" customHeight="1">
      <c r="A4" s="32">
        <v>3</v>
      </c>
      <c r="B4" s="46" t="s">
        <v>1244</v>
      </c>
      <c r="C4" s="47" t="s">
        <v>1245</v>
      </c>
      <c r="D4" s="47" t="s">
        <v>1237</v>
      </c>
      <c r="E4" s="47" t="s">
        <v>1246</v>
      </c>
      <c r="F4" s="48" t="s">
        <v>1239</v>
      </c>
    </row>
    <row r="5" spans="1:6" ht="15" customHeight="1">
      <c r="A5" s="32">
        <v>4</v>
      </c>
      <c r="B5" s="46" t="s">
        <v>1247</v>
      </c>
      <c r="C5" s="47" t="s">
        <v>1248</v>
      </c>
      <c r="D5" s="47" t="s">
        <v>1237</v>
      </c>
      <c r="E5" s="47" t="s">
        <v>1249</v>
      </c>
      <c r="F5" s="48" t="s">
        <v>1250</v>
      </c>
    </row>
    <row r="6" spans="1:6" ht="15" customHeight="1">
      <c r="A6" s="32">
        <v>5</v>
      </c>
      <c r="B6" s="46" t="s">
        <v>1251</v>
      </c>
      <c r="C6" s="47" t="s">
        <v>1252</v>
      </c>
      <c r="D6" s="47" t="s">
        <v>1237</v>
      </c>
      <c r="E6" s="47" t="s">
        <v>1253</v>
      </c>
      <c r="F6" s="48" t="s">
        <v>1250</v>
      </c>
    </row>
    <row r="7" spans="1:6" ht="15" customHeight="1">
      <c r="A7" s="32">
        <v>6</v>
      </c>
      <c r="B7" s="46" t="s">
        <v>1254</v>
      </c>
      <c r="C7" s="47" t="s">
        <v>1255</v>
      </c>
      <c r="D7" s="47" t="s">
        <v>1256</v>
      </c>
      <c r="E7" s="47" t="s">
        <v>1257</v>
      </c>
      <c r="F7" s="48" t="s">
        <v>1258</v>
      </c>
    </row>
    <row r="8" spans="1:6" ht="15" customHeight="1">
      <c r="A8" s="32">
        <v>7</v>
      </c>
      <c r="B8" s="46" t="s">
        <v>1259</v>
      </c>
      <c r="C8" s="47" t="s">
        <v>1260</v>
      </c>
      <c r="D8" s="47" t="s">
        <v>1237</v>
      </c>
      <c r="E8" s="47" t="s">
        <v>1261</v>
      </c>
      <c r="F8" s="48" t="s">
        <v>1239</v>
      </c>
    </row>
    <row r="9" spans="1:6" ht="15" customHeight="1">
      <c r="A9" s="32">
        <v>8</v>
      </c>
      <c r="B9" s="46" t="s">
        <v>1262</v>
      </c>
      <c r="C9" s="47" t="s">
        <v>1263</v>
      </c>
      <c r="D9" s="47" t="s">
        <v>1242</v>
      </c>
      <c r="E9" s="47" t="s">
        <v>1264</v>
      </c>
      <c r="F9" s="48" t="s">
        <v>1239</v>
      </c>
    </row>
    <row r="10" spans="1:6" ht="15" customHeight="1">
      <c r="A10" s="32">
        <v>9</v>
      </c>
      <c r="B10" s="46" t="s">
        <v>1265</v>
      </c>
      <c r="C10" s="47" t="s">
        <v>1266</v>
      </c>
      <c r="D10" s="47" t="s">
        <v>1267</v>
      </c>
      <c r="E10" s="47" t="s">
        <v>1268</v>
      </c>
      <c r="F10" s="48" t="s">
        <v>1239</v>
      </c>
    </row>
    <row r="11" spans="1:6" ht="15" customHeight="1" thickBot="1">
      <c r="A11" s="33">
        <v>10</v>
      </c>
      <c r="B11" s="49" t="s">
        <v>1269</v>
      </c>
      <c r="C11" s="50" t="s">
        <v>1236</v>
      </c>
      <c r="D11" s="50" t="s">
        <v>1270</v>
      </c>
      <c r="E11" s="50" t="s">
        <v>1271</v>
      </c>
      <c r="F11" s="51" t="s">
        <v>1250</v>
      </c>
    </row>
  </sheetData>
  <pageMargins left="0.7" right="0.7" top="0.75" bottom="0.75" header="0.511811023622047" footer="0.511811023622047"/>
  <pageSetup paperSize="9" orientation="portrait" horizontalDpi="300" verticalDpi="30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20"/>
  <sheetViews>
    <sheetView zoomScaleNormal="100" workbookViewId="0"/>
  </sheetViews>
  <sheetFormatPr defaultColWidth="8.5703125" defaultRowHeight="15" customHeight="1"/>
  <sheetData>
    <row r="1" spans="1:10" ht="15" customHeight="1">
      <c r="A1" t="s">
        <v>1198</v>
      </c>
      <c r="B1" t="s">
        <v>1229</v>
      </c>
      <c r="D1" t="s">
        <v>1197</v>
      </c>
      <c r="F1" t="s">
        <v>946</v>
      </c>
      <c r="H1" t="s">
        <v>2</v>
      </c>
      <c r="J1" t="s">
        <v>947</v>
      </c>
    </row>
    <row r="2" spans="1:10" ht="15" customHeight="1">
      <c r="A2" t="s">
        <v>1182</v>
      </c>
      <c r="B2">
        <v>1</v>
      </c>
      <c r="D2" t="s">
        <v>1200</v>
      </c>
      <c r="F2" t="s">
        <v>1200</v>
      </c>
      <c r="H2" t="s">
        <v>1200</v>
      </c>
      <c r="J2" t="s">
        <v>1200</v>
      </c>
    </row>
    <row r="3" spans="1:10" ht="15" customHeight="1">
      <c r="A3" t="s">
        <v>1272</v>
      </c>
      <c r="B3">
        <v>2</v>
      </c>
      <c r="D3" t="s">
        <v>1179</v>
      </c>
      <c r="F3" t="s">
        <v>1021</v>
      </c>
      <c r="H3" t="s">
        <v>61</v>
      </c>
      <c r="J3" t="s">
        <v>950</v>
      </c>
    </row>
    <row r="4" spans="1:10" ht="15" customHeight="1">
      <c r="A4" t="s">
        <v>1187</v>
      </c>
      <c r="B4">
        <v>3</v>
      </c>
      <c r="D4" t="s">
        <v>1273</v>
      </c>
      <c r="F4" t="s">
        <v>395</v>
      </c>
      <c r="H4" t="s">
        <v>35</v>
      </c>
      <c r="J4" t="s">
        <v>969</v>
      </c>
    </row>
    <row r="5" spans="1:10" ht="15" customHeight="1">
      <c r="A5" t="s">
        <v>1274</v>
      </c>
      <c r="B5">
        <v>4</v>
      </c>
      <c r="F5" t="s">
        <v>411</v>
      </c>
      <c r="H5" t="s">
        <v>82</v>
      </c>
      <c r="J5" t="s">
        <v>954</v>
      </c>
    </row>
    <row r="6" spans="1:10" ht="15" customHeight="1">
      <c r="A6" t="s">
        <v>1275</v>
      </c>
      <c r="B6">
        <v>5</v>
      </c>
      <c r="F6" t="s">
        <v>536</v>
      </c>
      <c r="H6" t="s">
        <v>135</v>
      </c>
      <c r="J6" t="s">
        <v>981</v>
      </c>
    </row>
    <row r="7" spans="1:10" ht="15" customHeight="1">
      <c r="A7" t="s">
        <v>1276</v>
      </c>
      <c r="B7">
        <v>6</v>
      </c>
      <c r="F7" t="s">
        <v>1026</v>
      </c>
      <c r="H7" t="s">
        <v>96</v>
      </c>
      <c r="J7" t="s">
        <v>959</v>
      </c>
    </row>
    <row r="8" spans="1:10" ht="15" customHeight="1">
      <c r="A8" t="s">
        <v>1277</v>
      </c>
      <c r="B8">
        <v>7</v>
      </c>
      <c r="F8" t="s">
        <v>396</v>
      </c>
      <c r="H8" t="s">
        <v>161</v>
      </c>
      <c r="J8" t="s">
        <v>1017</v>
      </c>
    </row>
    <row r="9" spans="1:10" ht="15" customHeight="1">
      <c r="A9" t="s">
        <v>1278</v>
      </c>
      <c r="B9">
        <v>8</v>
      </c>
      <c r="F9" t="s">
        <v>404</v>
      </c>
      <c r="H9" t="s">
        <v>171</v>
      </c>
      <c r="J9" t="s">
        <v>1015</v>
      </c>
    </row>
    <row r="10" spans="1:10" ht="15" customHeight="1">
      <c r="A10" t="s">
        <v>1279</v>
      </c>
      <c r="B10">
        <v>9</v>
      </c>
      <c r="H10" t="s">
        <v>45</v>
      </c>
      <c r="J10" t="s">
        <v>1019</v>
      </c>
    </row>
    <row r="11" spans="1:10" ht="15" customHeight="1">
      <c r="A11" t="s">
        <v>1280</v>
      </c>
      <c r="B11">
        <v>10</v>
      </c>
      <c r="H11" t="s">
        <v>13</v>
      </c>
    </row>
    <row r="12" spans="1:10" ht="15" customHeight="1">
      <c r="A12" t="s">
        <v>1281</v>
      </c>
      <c r="B12">
        <v>11</v>
      </c>
      <c r="H12" t="s">
        <v>101</v>
      </c>
    </row>
    <row r="13" spans="1:10" ht="15" customHeight="1">
      <c r="A13" t="s">
        <v>1282</v>
      </c>
      <c r="B13">
        <v>12</v>
      </c>
      <c r="H13" t="s">
        <v>250</v>
      </c>
    </row>
    <row r="14" spans="1:10" ht="15" customHeight="1">
      <c r="H14" t="s">
        <v>19</v>
      </c>
    </row>
    <row r="15" spans="1:10" ht="15" customHeight="1">
      <c r="H15" t="s">
        <v>53</v>
      </c>
    </row>
    <row r="16" spans="1:10" ht="15" customHeight="1">
      <c r="H16" t="s">
        <v>186</v>
      </c>
    </row>
    <row r="17" spans="8:8" ht="15" customHeight="1">
      <c r="H17" t="s">
        <v>176</v>
      </c>
    </row>
    <row r="18" spans="8:8" ht="15" customHeight="1">
      <c r="H18" t="s">
        <v>123</v>
      </c>
    </row>
    <row r="19" spans="8:8" ht="15" customHeight="1">
      <c r="H19" t="s">
        <v>388</v>
      </c>
    </row>
    <row r="20" spans="8:8" ht="15" customHeight="1">
      <c r="H20" t="s">
        <v>78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S108"/>
  <sheetViews>
    <sheetView zoomScaleNormal="100" workbookViewId="0"/>
  </sheetViews>
  <sheetFormatPr defaultColWidth="8.5703125" defaultRowHeight="15" customHeight="1"/>
  <sheetData>
    <row r="1" spans="1:19" ht="15" customHeight="1">
      <c r="A1" t="s">
        <v>1198</v>
      </c>
      <c r="B1" t="s">
        <v>1209</v>
      </c>
      <c r="C1" t="s">
        <v>1283</v>
      </c>
      <c r="E1" t="s">
        <v>2</v>
      </c>
      <c r="F1" t="s">
        <v>1209</v>
      </c>
      <c r="H1" t="s">
        <v>946</v>
      </c>
      <c r="I1" t="s">
        <v>1209</v>
      </c>
      <c r="K1" t="s">
        <v>1</v>
      </c>
      <c r="L1" t="s">
        <v>1208</v>
      </c>
      <c r="M1" t="s">
        <v>1209</v>
      </c>
      <c r="N1" t="s">
        <v>1284</v>
      </c>
      <c r="P1" t="s">
        <v>947</v>
      </c>
      <c r="Q1" t="s">
        <v>1209</v>
      </c>
      <c r="R1" t="s">
        <v>1210</v>
      </c>
      <c r="S1" t="s">
        <v>1284</v>
      </c>
    </row>
    <row r="2" spans="1:19" ht="15" customHeight="1">
      <c r="A2" t="s">
        <v>1182</v>
      </c>
      <c r="B2">
        <f>SUMIFS('Dados Tratados'!$L$2:$L$151,'Dados Tratados'!$T$2:$T$151,1,'Dados Tratados'!$S$2:$S$151,1)</f>
        <v>7189.69</v>
      </c>
      <c r="C2">
        <f>COUNTIFS('Dados Tratados'!$T$2:$T$151,1,'Dados Tratados'!$S$2:$S$151,1)</f>
        <v>30</v>
      </c>
      <c r="E2" t="s">
        <v>61</v>
      </c>
      <c r="F2">
        <f>SUMIFS('Dados Tratados'!$L$2:$L$151,'Dados Tratados'!$T$2:$T$151,1,'Dados Tratados'!$H$2:$H$151,E2)</f>
        <v>2288</v>
      </c>
      <c r="H2" t="s">
        <v>1021</v>
      </c>
      <c r="I2">
        <f>SUMIFS('Dados Tratados'!$L$2:$L$151,'Dados Tratados'!$T$2:$T$151,1,'Dados Tratados'!$N$2:$N$151,H2)</f>
        <v>566.45000000000005</v>
      </c>
      <c r="K2" t="s">
        <v>349</v>
      </c>
      <c r="L2">
        <f>SUMIFS('Dados Tratados'!$I$2:$I$151,'Dados Tratados'!$T$2:$T$151,1,'Dados Tratados'!$G$2:$G$151,K2)</f>
        <v>3</v>
      </c>
      <c r="M2">
        <f>SUMIFS('Dados Tratados'!$L$2:$L$151,'Dados Tratados'!$T$2:$T$151,1,'Dados Tratados'!$G$2:$G$151,K2)</f>
        <v>237</v>
      </c>
      <c r="N2">
        <f>IF(L2=0,9999,RANK(L2,$L$2:$L$108,0)+COUNTIF($L$2:L2,L2)-1)</f>
        <v>32</v>
      </c>
      <c r="P2" t="s">
        <v>950</v>
      </c>
      <c r="Q2">
        <f>SUMIFS('Dados Tratados'!$L$2:$L$151,'Dados Tratados'!$T$2:$T$151,1,'Dados Tratados'!$M$2:$M$151,P2)</f>
        <v>9880.7000000000007</v>
      </c>
      <c r="R2">
        <f>COUNTIFS('Dados Tratados'!$T$2:$T$151,1,'Dados Tratados'!$M$2:$M$151,P2)</f>
        <v>34</v>
      </c>
      <c r="S2">
        <f>IF(Q2=0,9999,RANK(Q2,$Q$2:$Q$9,0)+COUNTIF($Q$2:Q2,Q2)-1)</f>
        <v>1</v>
      </c>
    </row>
    <row r="3" spans="1:19" ht="15" customHeight="1">
      <c r="A3" t="s">
        <v>1272</v>
      </c>
      <c r="B3">
        <f>SUMIFS('Dados Tratados'!$L$2:$L$151,'Dados Tratados'!$T$2:$T$151,1,'Dados Tratados'!$S$2:$S$151,2)</f>
        <v>10000.6</v>
      </c>
      <c r="C3">
        <f>COUNTIFS('Dados Tratados'!$T$2:$T$151,1,'Dados Tratados'!$S$2:$S$151,2)</f>
        <v>25</v>
      </c>
      <c r="E3" t="s">
        <v>35</v>
      </c>
      <c r="F3">
        <f>SUMIFS('Dados Tratados'!$L$2:$L$151,'Dados Tratados'!$T$2:$T$151,1,'Dados Tratados'!$H$2:$H$151,E3)</f>
        <v>4408.2699999999995</v>
      </c>
      <c r="H3" t="s">
        <v>395</v>
      </c>
      <c r="I3">
        <f>SUMIFS('Dados Tratados'!$L$2:$L$151,'Dados Tratados'!$T$2:$T$151,1,'Dados Tratados'!$N$2:$N$151,H3)</f>
        <v>34</v>
      </c>
      <c r="K3" t="s">
        <v>351</v>
      </c>
      <c r="L3">
        <f>SUMIFS('Dados Tratados'!$I$2:$I$151,'Dados Tratados'!$T$2:$T$151,1,'Dados Tratados'!$G$2:$G$151,K3)</f>
        <v>2</v>
      </c>
      <c r="M3">
        <f>SUMIFS('Dados Tratados'!$L$2:$L$151,'Dados Tratados'!$T$2:$T$151,1,'Dados Tratados'!$G$2:$G$151,K3)</f>
        <v>158</v>
      </c>
      <c r="N3">
        <f>IF(L3=0,9999,RANK(L3,$L$2:$L$108,0)+COUNTIF($L$2:L3,L3)-1)</f>
        <v>44</v>
      </c>
      <c r="P3" t="s">
        <v>969</v>
      </c>
      <c r="Q3">
        <f>SUMIFS('Dados Tratados'!$L$2:$L$151,'Dados Tratados'!$T$2:$T$151,1,'Dados Tratados'!$M$2:$M$151,P3)</f>
        <v>2536.1</v>
      </c>
      <c r="R3">
        <f>COUNTIFS('Dados Tratados'!$T$2:$T$151,1,'Dados Tratados'!$M$2:$M$151,P3)</f>
        <v>6</v>
      </c>
      <c r="S3">
        <f>IF(Q3=0,9999,RANK(Q3,$Q$2:$Q$9,0)+COUNTIF($Q$2:Q3,Q3)-1)</f>
        <v>7</v>
      </c>
    </row>
    <row r="4" spans="1:19" ht="15" customHeight="1">
      <c r="A4" t="s">
        <v>1187</v>
      </c>
      <c r="B4">
        <f>SUMIFS('Dados Tratados'!$L$2:$L$151,'Dados Tratados'!$T$2:$T$151,1,'Dados Tratados'!$S$2:$S$151,3)</f>
        <v>9949.9999999999982</v>
      </c>
      <c r="C4">
        <f>COUNTIFS('Dados Tratados'!$T$2:$T$151,1,'Dados Tratados'!$S$2:$S$151,3)</f>
        <v>28</v>
      </c>
      <c r="E4" t="s">
        <v>82</v>
      </c>
      <c r="F4">
        <f>SUMIFS('Dados Tratados'!$L$2:$L$151,'Dados Tratados'!$T$2:$T$151,1,'Dados Tratados'!$H$2:$H$151,E4)</f>
        <v>160</v>
      </c>
      <c r="H4" t="s">
        <v>411</v>
      </c>
      <c r="I4">
        <f>SUMIFS('Dados Tratados'!$L$2:$L$151,'Dados Tratados'!$T$2:$T$151,1,'Dados Tratados'!$N$2:$N$151,H4)</f>
        <v>7121.85</v>
      </c>
      <c r="K4" t="s">
        <v>240</v>
      </c>
      <c r="L4">
        <f>SUMIFS('Dados Tratados'!$I$2:$I$151,'Dados Tratados'!$T$2:$T$151,1,'Dados Tratados'!$G$2:$G$151,K4)</f>
        <v>2</v>
      </c>
      <c r="M4">
        <f>SUMIFS('Dados Tratados'!$L$2:$L$151,'Dados Tratados'!$T$2:$T$151,1,'Dados Tratados'!$G$2:$G$151,K4)</f>
        <v>330</v>
      </c>
      <c r="N4">
        <f>IF(L4=0,9999,RANK(L4,$L$2:$L$108,0)+COUNTIF($L$2:L4,L4)-1)</f>
        <v>45</v>
      </c>
      <c r="P4" t="s">
        <v>954</v>
      </c>
      <c r="Q4">
        <f>SUMIFS('Dados Tratados'!$L$2:$L$151,'Dados Tratados'!$T$2:$T$151,1,'Dados Tratados'!$M$2:$M$151,P4)</f>
        <v>9421.7799999999988</v>
      </c>
      <c r="R4">
        <f>COUNTIFS('Dados Tratados'!$T$2:$T$151,1,'Dados Tratados'!$M$2:$M$151,P4)</f>
        <v>34</v>
      </c>
      <c r="S4">
        <f>IF(Q4=0,9999,RANK(Q4,$Q$2:$Q$9,0)+COUNTIF($Q$2:Q4,Q4)-1)</f>
        <v>2</v>
      </c>
    </row>
    <row r="5" spans="1:19" ht="15" customHeight="1">
      <c r="A5" t="s">
        <v>1274</v>
      </c>
      <c r="B5">
        <f>SUMIFS('Dados Tratados'!$L$2:$L$151,'Dados Tratados'!$T$2:$T$151,1,'Dados Tratados'!$S$2:$S$151,4)</f>
        <v>10173.650000000001</v>
      </c>
      <c r="C5">
        <f>COUNTIFS('Dados Tratados'!$T$2:$T$151,1,'Dados Tratados'!$S$2:$S$151,4)</f>
        <v>29</v>
      </c>
      <c r="E5" t="s">
        <v>135</v>
      </c>
      <c r="F5">
        <f>SUMIFS('Dados Tratados'!$L$2:$L$151,'Dados Tratados'!$T$2:$T$151,1,'Dados Tratados'!$H$2:$H$151,E5)</f>
        <v>458</v>
      </c>
      <c r="H5" t="s">
        <v>536</v>
      </c>
      <c r="I5">
        <f>SUMIFS('Dados Tratados'!$L$2:$L$151,'Dados Tratados'!$T$2:$T$151,1,'Dados Tratados'!$N$2:$N$151,H5)</f>
        <v>9472.23</v>
      </c>
      <c r="K5" t="s">
        <v>237</v>
      </c>
      <c r="L5">
        <f>SUMIFS('Dados Tratados'!$I$2:$I$151,'Dados Tratados'!$T$2:$T$151,1,'Dados Tratados'!$G$2:$G$151,K5)</f>
        <v>2</v>
      </c>
      <c r="M5">
        <f>SUMIFS('Dados Tratados'!$L$2:$L$151,'Dados Tratados'!$T$2:$T$151,1,'Dados Tratados'!$G$2:$G$151,K5)</f>
        <v>330</v>
      </c>
      <c r="N5">
        <f>IF(L5=0,9999,RANK(L5,$L$2:$L$108,0)+COUNTIF($L$2:L5,L5)-1)</f>
        <v>46</v>
      </c>
      <c r="P5" t="s">
        <v>981</v>
      </c>
      <c r="Q5">
        <f>SUMIFS('Dados Tratados'!$L$2:$L$151,'Dados Tratados'!$T$2:$T$151,1,'Dados Tratados'!$M$2:$M$151,P5)</f>
        <v>689.2</v>
      </c>
      <c r="R5">
        <f>COUNTIFS('Dados Tratados'!$T$2:$T$151,1,'Dados Tratados'!$M$2:$M$151,P5)</f>
        <v>5</v>
      </c>
      <c r="S5">
        <f>IF(Q5=0,9999,RANK(Q5,$Q$2:$Q$9,0)+COUNTIF($Q$2:Q5,Q5)-1)</f>
        <v>8</v>
      </c>
    </row>
    <row r="6" spans="1:19" ht="15" customHeight="1">
      <c r="A6" t="s">
        <v>1275</v>
      </c>
      <c r="B6">
        <f>SUMIFS('Dados Tratados'!$L$2:$L$151,'Dados Tratados'!$T$2:$T$151,1,'Dados Tratados'!$S$2:$S$151,5)</f>
        <v>5912.73</v>
      </c>
      <c r="C6">
        <f>COUNTIFS('Dados Tratados'!$T$2:$T$151,1,'Dados Tratados'!$S$2:$S$151,5)</f>
        <v>28</v>
      </c>
      <c r="E6" t="s">
        <v>96</v>
      </c>
      <c r="F6">
        <f>SUMIFS('Dados Tratados'!$L$2:$L$151,'Dados Tratados'!$T$2:$T$151,1,'Dados Tratados'!$H$2:$H$151,E6)</f>
        <v>157.5</v>
      </c>
      <c r="H6" t="s">
        <v>1026</v>
      </c>
      <c r="I6">
        <f>SUMIFS('Dados Tratados'!$L$2:$L$151,'Dados Tratados'!$T$2:$T$151,1,'Dados Tratados'!$N$2:$N$151,H6)</f>
        <v>1054.75</v>
      </c>
      <c r="K6" t="s">
        <v>365</v>
      </c>
      <c r="L6">
        <f>SUMIFS('Dados Tratados'!$I$2:$I$151,'Dados Tratados'!$T$2:$T$151,1,'Dados Tratados'!$G$2:$G$151,K6)</f>
        <v>1</v>
      </c>
      <c r="M6">
        <f>SUMIFS('Dados Tratados'!$L$2:$L$151,'Dados Tratados'!$T$2:$T$151,1,'Dados Tratados'!$G$2:$G$151,K6)</f>
        <v>89</v>
      </c>
      <c r="N6">
        <f>IF(L6=0,9999,RANK(L6,$L$2:$L$108,0)+COUNTIF($L$2:L6,L6)-1)</f>
        <v>75</v>
      </c>
      <c r="P6" t="s">
        <v>959</v>
      </c>
      <c r="Q6">
        <f>SUMIFS('Dados Tratados'!$L$2:$L$151,'Dados Tratados'!$T$2:$T$151,1,'Dados Tratados'!$M$2:$M$151,P6)</f>
        <v>6856.29</v>
      </c>
      <c r="R6">
        <f>COUNTIFS('Dados Tratados'!$T$2:$T$151,1,'Dados Tratados'!$M$2:$M$151,P6)</f>
        <v>26</v>
      </c>
      <c r="S6">
        <f>IF(Q6=0,9999,RANK(Q6,$Q$2:$Q$9,0)+COUNTIF($Q$2:Q6,Q6)-1)</f>
        <v>3</v>
      </c>
    </row>
    <row r="7" spans="1:19" ht="15" customHeight="1">
      <c r="A7" t="s">
        <v>1276</v>
      </c>
      <c r="B7">
        <f>SUMIFS('Dados Tratados'!$L$2:$L$151,'Dados Tratados'!$T$2:$T$151,1,'Dados Tratados'!$S$2:$S$151,6)</f>
        <v>0</v>
      </c>
      <c r="C7">
        <f>COUNTIFS('Dados Tratados'!$T$2:$T$151,1,'Dados Tratados'!$S$2:$S$151,6)</f>
        <v>0</v>
      </c>
      <c r="E7" t="s">
        <v>161</v>
      </c>
      <c r="F7">
        <f>SUMIFS('Dados Tratados'!$L$2:$L$151,'Dados Tratados'!$T$2:$T$151,1,'Dados Tratados'!$H$2:$H$151,E7)</f>
        <v>1121</v>
      </c>
      <c r="H7" t="s">
        <v>396</v>
      </c>
      <c r="I7">
        <f>SUMIFS('Dados Tratados'!$L$2:$L$151,'Dados Tratados'!$T$2:$T$151,1,'Dados Tratados'!$N$2:$N$151,H7)</f>
        <v>1681</v>
      </c>
      <c r="K7" t="s">
        <v>367</v>
      </c>
      <c r="L7">
        <f>SUMIFS('Dados Tratados'!$I$2:$I$151,'Dados Tratados'!$T$2:$T$151,1,'Dados Tratados'!$G$2:$G$151,K7)</f>
        <v>2</v>
      </c>
      <c r="M7">
        <f>SUMIFS('Dados Tratados'!$L$2:$L$151,'Dados Tratados'!$T$2:$T$151,1,'Dados Tratados'!$G$2:$G$151,K7)</f>
        <v>178</v>
      </c>
      <c r="N7">
        <f>IF(L7=0,9999,RANK(L7,$L$2:$L$108,0)+COUNTIF($L$2:L7,L7)-1)</f>
        <v>47</v>
      </c>
      <c r="P7" t="s">
        <v>1017</v>
      </c>
      <c r="Q7">
        <f>SUMIFS('Dados Tratados'!$L$2:$L$151,'Dados Tratados'!$T$2:$T$151,1,'Dados Tratados'!$M$2:$M$151,P7)</f>
        <v>6588.7000000000007</v>
      </c>
      <c r="R7">
        <f>COUNTIFS('Dados Tratados'!$T$2:$T$151,1,'Dados Tratados'!$M$2:$M$151,P7)</f>
        <v>18</v>
      </c>
      <c r="S7">
        <f>IF(Q7=0,9999,RANK(Q7,$Q$2:$Q$9,0)+COUNTIF($Q$2:Q7,Q7)-1)</f>
        <v>4</v>
      </c>
    </row>
    <row r="8" spans="1:19" ht="15" customHeight="1">
      <c r="A8" t="s">
        <v>1277</v>
      </c>
      <c r="B8">
        <f>SUMIFS('Dados Tratados'!$L$2:$L$151,'Dados Tratados'!$T$2:$T$151,1,'Dados Tratados'!$S$2:$S$151,7)</f>
        <v>0</v>
      </c>
      <c r="C8">
        <f>COUNTIFS('Dados Tratados'!$T$2:$T$151,1,'Dados Tratados'!$S$2:$S$151,7)</f>
        <v>0</v>
      </c>
      <c r="E8" t="s">
        <v>171</v>
      </c>
      <c r="F8">
        <f>SUMIFS('Dados Tratados'!$L$2:$L$151,'Dados Tratados'!$T$2:$T$151,1,'Dados Tratados'!$H$2:$H$151,E8)</f>
        <v>240</v>
      </c>
      <c r="H8" t="s">
        <v>404</v>
      </c>
      <c r="I8">
        <f>SUMIFS('Dados Tratados'!$L$2:$L$151,'Dados Tratados'!$T$2:$T$151,1,'Dados Tratados'!$N$2:$N$151,H8)</f>
        <v>23296.389999999996</v>
      </c>
      <c r="K8" t="s">
        <v>290</v>
      </c>
      <c r="L8">
        <f>SUMIFS('Dados Tratados'!$I$2:$I$151,'Dados Tratados'!$T$2:$T$151,1,'Dados Tratados'!$G$2:$G$151,K8)</f>
        <v>2</v>
      </c>
      <c r="M8">
        <f>SUMIFS('Dados Tratados'!$L$2:$L$151,'Dados Tratados'!$T$2:$T$151,1,'Dados Tratados'!$G$2:$G$151,K8)</f>
        <v>491.3</v>
      </c>
      <c r="N8">
        <f>IF(L8=0,9999,RANK(L8,$L$2:$L$108,0)+COUNTIF($L$2:L8,L8)-1)</f>
        <v>48</v>
      </c>
      <c r="P8" t="s">
        <v>1015</v>
      </c>
      <c r="Q8">
        <f>SUMIFS('Dados Tratados'!$L$2:$L$151,'Dados Tratados'!$T$2:$T$151,1,'Dados Tratados'!$M$2:$M$151,P8)</f>
        <v>4523.1499999999996</v>
      </c>
      <c r="R8">
        <f>COUNTIFS('Dados Tratados'!$T$2:$T$151,1,'Dados Tratados'!$M$2:$M$151,P8)</f>
        <v>13</v>
      </c>
      <c r="S8">
        <f>IF(Q8=0,9999,RANK(Q8,$Q$2:$Q$9,0)+COUNTIF($Q$2:Q8,Q8)-1)</f>
        <v>5</v>
      </c>
    </row>
    <row r="9" spans="1:19" ht="15" customHeight="1">
      <c r="A9" t="s">
        <v>1278</v>
      </c>
      <c r="B9">
        <f>SUMIFS('Dados Tratados'!$L$2:$L$151,'Dados Tratados'!$T$2:$T$151,1,'Dados Tratados'!$S$2:$S$151,8)</f>
        <v>0</v>
      </c>
      <c r="C9">
        <f>COUNTIFS('Dados Tratados'!$T$2:$T$151,1,'Dados Tratados'!$S$2:$S$151,8)</f>
        <v>0</v>
      </c>
      <c r="E9" t="s">
        <v>45</v>
      </c>
      <c r="F9">
        <f>SUMIFS('Dados Tratados'!$L$2:$L$151,'Dados Tratados'!$T$2:$T$151,1,'Dados Tratados'!$H$2:$H$151,E9)</f>
        <v>1215.5</v>
      </c>
      <c r="K9" t="s">
        <v>294</v>
      </c>
      <c r="L9">
        <f>SUMIFS('Dados Tratados'!$I$2:$I$151,'Dados Tratados'!$T$2:$T$151,1,'Dados Tratados'!$G$2:$G$151,K9)</f>
        <v>2</v>
      </c>
      <c r="M9">
        <f>SUMIFS('Dados Tratados'!$L$2:$L$151,'Dados Tratados'!$T$2:$T$151,1,'Dados Tratados'!$G$2:$G$151,K9)</f>
        <v>491.3</v>
      </c>
      <c r="N9">
        <f>IF(L9=0,9999,RANK(L9,$L$2:$L$108,0)+COUNTIF($L$2:L9,L9)-1)</f>
        <v>49</v>
      </c>
      <c r="P9" t="s">
        <v>1019</v>
      </c>
      <c r="Q9">
        <f>SUMIFS('Dados Tratados'!$L$2:$L$151,'Dados Tratados'!$T$2:$T$151,1,'Dados Tratados'!$M$2:$M$151,P9)</f>
        <v>2730.75</v>
      </c>
      <c r="R9">
        <f>COUNTIFS('Dados Tratados'!$T$2:$T$151,1,'Dados Tratados'!$M$2:$M$151,P9)</f>
        <v>4</v>
      </c>
      <c r="S9">
        <f>IF(Q9=0,9999,RANK(Q9,$Q$2:$Q$9,0)+COUNTIF($Q$2:Q9,Q9)-1)</f>
        <v>6</v>
      </c>
    </row>
    <row r="10" spans="1:19" ht="15" customHeight="1">
      <c r="A10" t="s">
        <v>1279</v>
      </c>
      <c r="B10">
        <f>SUMIFS('Dados Tratados'!$L$2:$L$151,'Dados Tratados'!$T$2:$T$151,1,'Dados Tratados'!$S$2:$S$151,9)</f>
        <v>0</v>
      </c>
      <c r="C10">
        <f>COUNTIFS('Dados Tratados'!$T$2:$T$151,1,'Dados Tratados'!$S$2:$S$151,9)</f>
        <v>0</v>
      </c>
      <c r="E10" t="s">
        <v>13</v>
      </c>
      <c r="F10">
        <f>SUMIFS('Dados Tratados'!$L$2:$L$151,'Dados Tratados'!$T$2:$T$151,1,'Dados Tratados'!$H$2:$H$151,E10)</f>
        <v>11872.2</v>
      </c>
      <c r="K10" t="s">
        <v>189</v>
      </c>
      <c r="L10">
        <f>SUMIFS('Dados Tratados'!$I$2:$I$151,'Dados Tratados'!$T$2:$T$151,1,'Dados Tratados'!$G$2:$G$151,K10)</f>
        <v>1</v>
      </c>
      <c r="M10">
        <f>SUMIFS('Dados Tratados'!$L$2:$L$151,'Dados Tratados'!$T$2:$T$151,1,'Dados Tratados'!$G$2:$G$151,K10)</f>
        <v>45</v>
      </c>
      <c r="N10">
        <f>IF(L10=0,9999,RANK(L10,$L$2:$L$108,0)+COUNTIF($L$2:L10,L10)-1)</f>
        <v>76</v>
      </c>
    </row>
    <row r="11" spans="1:19" ht="15" customHeight="1">
      <c r="A11" t="s">
        <v>1280</v>
      </c>
      <c r="B11">
        <f>SUMIFS('Dados Tratados'!$L$2:$L$151,'Dados Tratados'!$T$2:$T$151,1,'Dados Tratados'!$S$2:$S$151,10)</f>
        <v>0</v>
      </c>
      <c r="C11">
        <f>COUNTIFS('Dados Tratados'!$T$2:$T$151,1,'Dados Tratados'!$S$2:$S$151,10)</f>
        <v>0</v>
      </c>
      <c r="E11" t="s">
        <v>101</v>
      </c>
      <c r="F11">
        <f>SUMIFS('Dados Tratados'!$L$2:$L$151,'Dados Tratados'!$T$2:$T$151,1,'Dados Tratados'!$H$2:$H$151,E11)</f>
        <v>693.7</v>
      </c>
      <c r="K11" t="s">
        <v>185</v>
      </c>
      <c r="L11">
        <f>SUMIFS('Dados Tratados'!$I$2:$I$151,'Dados Tratados'!$T$2:$T$151,1,'Dados Tratados'!$G$2:$G$151,K11)</f>
        <v>3</v>
      </c>
      <c r="M11">
        <f>SUMIFS('Dados Tratados'!$L$2:$L$151,'Dados Tratados'!$T$2:$T$151,1,'Dados Tratados'!$G$2:$G$151,K11)</f>
        <v>114.75</v>
      </c>
      <c r="N11">
        <f>IF(L11=0,9999,RANK(L11,$L$2:$L$108,0)+COUNTIF($L$2:L11,L11)-1)</f>
        <v>33</v>
      </c>
    </row>
    <row r="12" spans="1:19" ht="15" customHeight="1">
      <c r="A12" t="s">
        <v>1281</v>
      </c>
      <c r="B12">
        <f>SUMIFS('Dados Tratados'!$L$2:$L$151,'Dados Tratados'!$T$2:$T$151,1,'Dados Tratados'!$S$2:$S$151,11)</f>
        <v>0</v>
      </c>
      <c r="C12">
        <f>COUNTIFS('Dados Tratados'!$T$2:$T$151,1,'Dados Tratados'!$S$2:$S$151,11)</f>
        <v>0</v>
      </c>
      <c r="E12" t="s">
        <v>250</v>
      </c>
      <c r="F12">
        <f>SUMIFS('Dados Tratados'!$L$2:$L$151,'Dados Tratados'!$T$2:$T$151,1,'Dados Tratados'!$H$2:$H$151,E12)</f>
        <v>2068</v>
      </c>
      <c r="K12" t="s">
        <v>281</v>
      </c>
      <c r="L12">
        <f>SUMIFS('Dados Tratados'!$I$2:$I$151,'Dados Tratados'!$T$2:$T$151,1,'Dados Tratados'!$G$2:$G$151,K12)</f>
        <v>2</v>
      </c>
      <c r="M12">
        <f>SUMIFS('Dados Tratados'!$L$2:$L$151,'Dados Tratados'!$T$2:$T$151,1,'Dados Tratados'!$G$2:$G$151,K12)</f>
        <v>90</v>
      </c>
      <c r="N12">
        <f>IF(L12=0,9999,RANK(L12,$L$2:$L$108,0)+COUNTIF($L$2:L12,L12)-1)</f>
        <v>50</v>
      </c>
    </row>
    <row r="13" spans="1:19" ht="15" customHeight="1">
      <c r="A13" t="s">
        <v>1282</v>
      </c>
      <c r="B13">
        <f>SUMIFS('Dados Tratados'!$L$2:$L$151,'Dados Tratados'!$T$2:$T$151,1,'Dados Tratados'!$S$2:$S$151,12)</f>
        <v>0</v>
      </c>
      <c r="C13">
        <f>COUNTIFS('Dados Tratados'!$T$2:$T$151,1,'Dados Tratados'!$S$2:$S$151,12)</f>
        <v>0</v>
      </c>
      <c r="E13" t="s">
        <v>19</v>
      </c>
      <c r="F13">
        <f>SUMIFS('Dados Tratados'!$L$2:$L$151,'Dados Tratados'!$T$2:$T$151,1,'Dados Tratados'!$H$2:$H$151,E13)</f>
        <v>3579.3</v>
      </c>
      <c r="K13" t="s">
        <v>278</v>
      </c>
      <c r="L13">
        <f>SUMIFS('Dados Tratados'!$I$2:$I$151,'Dados Tratados'!$T$2:$T$151,1,'Dados Tratados'!$G$2:$G$151,K13)</f>
        <v>0</v>
      </c>
      <c r="M13">
        <f>SUMIFS('Dados Tratados'!$L$2:$L$151,'Dados Tratados'!$T$2:$T$151,1,'Dados Tratados'!$G$2:$G$151,K13)</f>
        <v>0</v>
      </c>
      <c r="N13">
        <f>IF(L13=0,9999,RANK(L13,$L$2:$L$108,0)+COUNTIF($L$2:L13,L13)-1)</f>
        <v>9999</v>
      </c>
    </row>
    <row r="14" spans="1:19" ht="15" customHeight="1">
      <c r="E14" t="s">
        <v>53</v>
      </c>
      <c r="F14">
        <f>SUMIFS('Dados Tratados'!$L$2:$L$151,'Dados Tratados'!$T$2:$T$151,1,'Dados Tratados'!$H$2:$H$151,E14)</f>
        <v>6662.1</v>
      </c>
      <c r="K14" t="s">
        <v>65</v>
      </c>
      <c r="L14">
        <f>SUMIFS('Dados Tratados'!$I$2:$I$151,'Dados Tratados'!$T$2:$T$151,1,'Dados Tratados'!$G$2:$G$151,K14)</f>
        <v>33</v>
      </c>
      <c r="M14">
        <f>SUMIFS('Dados Tratados'!$L$2:$L$151,'Dados Tratados'!$T$2:$T$151,1,'Dados Tratados'!$G$2:$G$151,K14)</f>
        <v>396</v>
      </c>
      <c r="N14">
        <f>IF(L14=0,9999,RANK(L14,$L$2:$L$108,0)+COUNTIF($L$2:L14,L14)-1)</f>
        <v>3</v>
      </c>
    </row>
    <row r="15" spans="1:19" ht="15" customHeight="1">
      <c r="E15" t="s">
        <v>186</v>
      </c>
      <c r="F15">
        <f>SUMIFS('Dados Tratados'!$L$2:$L$151,'Dados Tratados'!$T$2:$T$151,1,'Dados Tratados'!$H$2:$H$151,E15)</f>
        <v>338.2</v>
      </c>
      <c r="K15" t="s">
        <v>60</v>
      </c>
      <c r="L15">
        <f>SUMIFS('Dados Tratados'!$I$2:$I$151,'Dados Tratados'!$T$2:$T$151,1,'Dados Tratados'!$G$2:$G$151,K15)</f>
        <v>35</v>
      </c>
      <c r="M15">
        <f>SUMIFS('Dados Tratados'!$L$2:$L$151,'Dados Tratados'!$T$2:$T$151,1,'Dados Tratados'!$G$2:$G$151,K15)</f>
        <v>420</v>
      </c>
      <c r="N15">
        <f>IF(L15=0,9999,RANK(L15,$L$2:$L$108,0)+COUNTIF($L$2:L15,L15)-1)</f>
        <v>1</v>
      </c>
    </row>
    <row r="16" spans="1:19" ht="15" customHeight="1">
      <c r="E16" t="s">
        <v>176</v>
      </c>
      <c r="F16">
        <f>SUMIFS('Dados Tratados'!$L$2:$L$151,'Dados Tratados'!$T$2:$T$151,1,'Dados Tratados'!$H$2:$H$151,E16)</f>
        <v>2891.5499999999997</v>
      </c>
      <c r="K16" t="s">
        <v>100</v>
      </c>
      <c r="L16">
        <f>SUMIFS('Dados Tratados'!$I$2:$I$151,'Dados Tratados'!$T$2:$T$151,1,'Dados Tratados'!$G$2:$G$151,K16)</f>
        <v>2</v>
      </c>
      <c r="M16">
        <f>SUMIFS('Dados Tratados'!$L$2:$L$151,'Dados Tratados'!$T$2:$T$151,1,'Dados Tratados'!$G$2:$G$151,K16)</f>
        <v>370</v>
      </c>
      <c r="N16">
        <f>IF(L16=0,9999,RANK(L16,$L$2:$L$108,0)+COUNTIF($L$2:L16,L16)-1)</f>
        <v>51</v>
      </c>
    </row>
    <row r="17" spans="5:14" ht="15" customHeight="1">
      <c r="E17" t="s">
        <v>123</v>
      </c>
      <c r="F17">
        <f>SUMIFS('Dados Tratados'!$L$2:$L$151,'Dados Tratados'!$T$2:$T$151,1,'Dados Tratados'!$H$2:$H$151,E17)</f>
        <v>4555.8500000000004</v>
      </c>
      <c r="K17" t="s">
        <v>208</v>
      </c>
      <c r="L17">
        <f>SUMIFS('Dados Tratados'!$I$2:$I$151,'Dados Tratados'!$T$2:$T$151,1,'Dados Tratados'!$G$2:$G$151,K17)</f>
        <v>2</v>
      </c>
      <c r="M17">
        <f>SUMIFS('Dados Tratados'!$L$2:$L$151,'Dados Tratados'!$T$2:$T$151,1,'Dados Tratados'!$G$2:$G$151,K17)</f>
        <v>169.1</v>
      </c>
      <c r="N17">
        <f>IF(L17=0,9999,RANK(L17,$L$2:$L$108,0)+COUNTIF($L$2:L17,L17)-1)</f>
        <v>52</v>
      </c>
    </row>
    <row r="18" spans="5:14" ht="15" customHeight="1">
      <c r="E18" t="s">
        <v>388</v>
      </c>
      <c r="F18">
        <f>SUMIFS('Dados Tratados'!$L$2:$L$151,'Dados Tratados'!$T$2:$T$151,1,'Dados Tratados'!$H$2:$H$151,E18)</f>
        <v>0</v>
      </c>
      <c r="K18" t="s">
        <v>144</v>
      </c>
      <c r="L18">
        <f>SUMIFS('Dados Tratados'!$I$2:$I$151,'Dados Tratados'!$T$2:$T$151,1,'Dados Tratados'!$G$2:$G$151,K18)</f>
        <v>1</v>
      </c>
      <c r="M18">
        <f>SUMIFS('Dados Tratados'!$L$2:$L$151,'Dados Tratados'!$T$2:$T$151,1,'Dados Tratados'!$G$2:$G$151,K18)</f>
        <v>34</v>
      </c>
      <c r="N18">
        <f>IF(L18=0,9999,RANK(L18,$L$2:$L$108,0)+COUNTIF($L$2:L18,L18)-1)</f>
        <v>77</v>
      </c>
    </row>
    <row r="19" spans="5:14" ht="15" customHeight="1">
      <c r="E19" t="s">
        <v>78</v>
      </c>
      <c r="F19">
        <f>SUMIFS('Dados Tratados'!$L$2:$L$151,'Dados Tratados'!$T$2:$T$151,1,'Dados Tratados'!$H$2:$H$151,E19)</f>
        <v>517.5</v>
      </c>
      <c r="K19" t="s">
        <v>142</v>
      </c>
      <c r="L19">
        <f>SUMIFS('Dados Tratados'!$I$2:$I$151,'Dados Tratados'!$T$2:$T$151,1,'Dados Tratados'!$G$2:$G$151,K19)</f>
        <v>2</v>
      </c>
      <c r="M19">
        <f>SUMIFS('Dados Tratados'!$L$2:$L$151,'Dados Tratados'!$T$2:$T$151,1,'Dados Tratados'!$G$2:$G$151,K19)</f>
        <v>44</v>
      </c>
      <c r="N19">
        <f>IF(L19=0,9999,RANK(L19,$L$2:$L$108,0)+COUNTIF($L$2:L19,L19)-1)</f>
        <v>53</v>
      </c>
    </row>
    <row r="20" spans="5:14" ht="15" customHeight="1">
      <c r="K20" t="s">
        <v>81</v>
      </c>
      <c r="L20">
        <f>SUMIFS('Dados Tratados'!$I$2:$I$151,'Dados Tratados'!$T$2:$T$151,1,'Dados Tratados'!$G$2:$G$151,K20)</f>
        <v>4</v>
      </c>
      <c r="M20">
        <f>SUMIFS('Dados Tratados'!$L$2:$L$151,'Dados Tratados'!$T$2:$T$151,1,'Dados Tratados'!$G$2:$G$151,K20)</f>
        <v>320</v>
      </c>
      <c r="N20">
        <f>IF(L20=0,9999,RANK(L20,$L$2:$L$108,0)+COUNTIF($L$2:L20,L20)-1)</f>
        <v>22</v>
      </c>
    </row>
    <row r="21" spans="5:14" ht="15" customHeight="1">
      <c r="K21" t="s">
        <v>204</v>
      </c>
      <c r="L21">
        <f>SUMIFS('Dados Tratados'!$I$2:$I$151,'Dados Tratados'!$T$2:$T$151,1,'Dados Tratados'!$G$2:$G$151,K21)</f>
        <v>2</v>
      </c>
      <c r="M21">
        <f>SUMIFS('Dados Tratados'!$L$2:$L$151,'Dados Tratados'!$T$2:$T$151,1,'Dados Tratados'!$G$2:$G$151,K21)</f>
        <v>169.1</v>
      </c>
      <c r="N21">
        <f>IF(L21=0,9999,RANK(L21,$L$2:$L$108,0)+COUNTIF($L$2:L21,L21)-1)</f>
        <v>54</v>
      </c>
    </row>
    <row r="22" spans="5:14" ht="15" customHeight="1">
      <c r="K22" t="s">
        <v>336</v>
      </c>
      <c r="L22">
        <f>SUMIFS('Dados Tratados'!$I$2:$I$151,'Dados Tratados'!$T$2:$T$151,1,'Dados Tratados'!$G$2:$G$151,K22)</f>
        <v>4</v>
      </c>
      <c r="M22">
        <f>SUMIFS('Dados Tratados'!$L$2:$L$151,'Dados Tratados'!$T$2:$T$151,1,'Dados Tratados'!$G$2:$G$151,K22)</f>
        <v>846.6</v>
      </c>
      <c r="N22">
        <f>IF(L22=0,9999,RANK(L22,$L$2:$L$108,0)+COUNTIF($L$2:L22,L22)-1)</f>
        <v>23</v>
      </c>
    </row>
    <row r="23" spans="5:14" ht="15" customHeight="1">
      <c r="K23" t="s">
        <v>215</v>
      </c>
      <c r="L23">
        <f>SUMIFS('Dados Tratados'!$I$2:$I$151,'Dados Tratados'!$T$2:$T$151,1,'Dados Tratados'!$G$2:$G$151,K23)</f>
        <v>0</v>
      </c>
      <c r="M23">
        <f>SUMIFS('Dados Tratados'!$L$2:$L$151,'Dados Tratados'!$T$2:$T$151,1,'Dados Tratados'!$G$2:$G$151,K23)</f>
        <v>0</v>
      </c>
      <c r="N23">
        <f>IF(L23=0,9999,RANK(L23,$L$2:$L$108,0)+COUNTIF($L$2:L23,L23)-1)</f>
        <v>9999</v>
      </c>
    </row>
    <row r="24" spans="5:14" ht="15" customHeight="1">
      <c r="K24" t="s">
        <v>212</v>
      </c>
      <c r="L24">
        <f>SUMIFS('Dados Tratados'!$I$2:$I$151,'Dados Tratados'!$T$2:$T$151,1,'Dados Tratados'!$G$2:$G$151,K24)</f>
        <v>1</v>
      </c>
      <c r="M24">
        <f>SUMIFS('Dados Tratados'!$L$2:$L$151,'Dados Tratados'!$T$2:$T$151,1,'Dados Tratados'!$G$2:$G$151,K24)</f>
        <v>95</v>
      </c>
      <c r="N24">
        <f>IF(L24=0,9999,RANK(L24,$L$2:$L$108,0)+COUNTIF($L$2:L24,L24)-1)</f>
        <v>78</v>
      </c>
    </row>
    <row r="25" spans="5:14" ht="15" customHeight="1">
      <c r="K25" t="s">
        <v>42</v>
      </c>
      <c r="L25">
        <f>SUMIFS('Dados Tratados'!$I$2:$I$151,'Dados Tratados'!$T$2:$T$151,1,'Dados Tratados'!$G$2:$G$151,K25)</f>
        <v>3</v>
      </c>
      <c r="M25">
        <f>SUMIFS('Dados Tratados'!$L$2:$L$151,'Dados Tratados'!$T$2:$T$151,1,'Dados Tratados'!$G$2:$G$151,K25)</f>
        <v>359.96999999999997</v>
      </c>
      <c r="N25">
        <f>IF(L25=0,9999,RANK(L25,$L$2:$L$108,0)+COUNTIF($L$2:L25,L25)-1)</f>
        <v>34</v>
      </c>
    </row>
    <row r="26" spans="5:14" ht="15" customHeight="1">
      <c r="K26" t="s">
        <v>157</v>
      </c>
      <c r="L26">
        <f>SUMIFS('Dados Tratados'!$I$2:$I$151,'Dados Tratados'!$T$2:$T$151,1,'Dados Tratados'!$G$2:$G$151,K26)</f>
        <v>2</v>
      </c>
      <c r="M26">
        <f>SUMIFS('Dados Tratados'!$L$2:$L$151,'Dados Tratados'!$T$2:$T$151,1,'Dados Tratados'!$G$2:$G$151,K26)</f>
        <v>298</v>
      </c>
      <c r="N26">
        <f>IF(L26=0,9999,RANK(L26,$L$2:$L$108,0)+COUNTIF($L$2:L26,L26)-1)</f>
        <v>55</v>
      </c>
    </row>
    <row r="27" spans="5:14" ht="15" customHeight="1">
      <c r="K27" t="s">
        <v>155</v>
      </c>
      <c r="L27">
        <f>SUMIFS('Dados Tratados'!$I$2:$I$151,'Dados Tratados'!$T$2:$T$151,1,'Dados Tratados'!$G$2:$G$151,K27)</f>
        <v>1</v>
      </c>
      <c r="M27">
        <f>SUMIFS('Dados Tratados'!$L$2:$L$151,'Dados Tratados'!$T$2:$T$151,1,'Dados Tratados'!$G$2:$G$151,K27)</f>
        <v>170</v>
      </c>
      <c r="N27">
        <f>IF(L27=0,9999,RANK(L27,$L$2:$L$108,0)+COUNTIF($L$2:L27,L27)-1)</f>
        <v>79</v>
      </c>
    </row>
    <row r="28" spans="5:14" ht="15" customHeight="1">
      <c r="K28" t="s">
        <v>243</v>
      </c>
      <c r="L28">
        <f>SUMIFS('Dados Tratados'!$I$2:$I$151,'Dados Tratados'!$T$2:$T$151,1,'Dados Tratados'!$G$2:$G$151,K28)</f>
        <v>2</v>
      </c>
      <c r="M28">
        <f>SUMIFS('Dados Tratados'!$L$2:$L$151,'Dados Tratados'!$T$2:$T$151,1,'Dados Tratados'!$G$2:$G$151,K28)</f>
        <v>1248</v>
      </c>
      <c r="N28">
        <f>IF(L28=0,9999,RANK(L28,$L$2:$L$108,0)+COUNTIF($L$2:L28,L28)-1)</f>
        <v>56</v>
      </c>
    </row>
    <row r="29" spans="5:14" ht="15" customHeight="1">
      <c r="K29" t="s">
        <v>77</v>
      </c>
      <c r="L29">
        <f>SUMIFS('Dados Tratados'!$I$2:$I$151,'Dados Tratados'!$T$2:$T$151,1,'Dados Tratados'!$G$2:$G$151,K29)</f>
        <v>4</v>
      </c>
      <c r="M29">
        <f>SUMIFS('Dados Tratados'!$L$2:$L$151,'Dados Tratados'!$T$2:$T$151,1,'Dados Tratados'!$G$2:$G$151,K29)</f>
        <v>220</v>
      </c>
      <c r="N29">
        <f>IF(L29=0,9999,RANK(L29,$L$2:$L$108,0)+COUNTIF($L$2:L29,L29)-1)</f>
        <v>24</v>
      </c>
    </row>
    <row r="30" spans="5:14" ht="15" customHeight="1">
      <c r="K30" t="s">
        <v>151</v>
      </c>
      <c r="L30">
        <f>SUMIFS('Dados Tratados'!$I$2:$I$151,'Dados Tratados'!$T$2:$T$151,1,'Dados Tratados'!$G$2:$G$151,K30)</f>
        <v>1</v>
      </c>
      <c r="M30">
        <f>SUMIFS('Dados Tratados'!$L$2:$L$151,'Dados Tratados'!$T$2:$T$151,1,'Dados Tratados'!$G$2:$G$151,K30)</f>
        <v>590</v>
      </c>
      <c r="N30">
        <f>IF(L30=0,9999,RANK(L30,$L$2:$L$108,0)+COUNTIF($L$2:L30,L30)-1)</f>
        <v>80</v>
      </c>
    </row>
    <row r="31" spans="5:14" ht="15" customHeight="1">
      <c r="K31" t="s">
        <v>148</v>
      </c>
      <c r="L31">
        <f>SUMIFS('Dados Tratados'!$I$2:$I$151,'Dados Tratados'!$T$2:$T$151,1,'Dados Tratados'!$G$2:$G$151,K31)</f>
        <v>1</v>
      </c>
      <c r="M31">
        <f>SUMIFS('Dados Tratados'!$L$2:$L$151,'Dados Tratados'!$T$2:$T$151,1,'Dados Tratados'!$G$2:$G$151,K31)</f>
        <v>111.75</v>
      </c>
      <c r="N31">
        <f>IF(L31=0,9999,RANK(L31,$L$2:$L$108,0)+COUNTIF($L$2:L31,L31)-1)</f>
        <v>81</v>
      </c>
    </row>
    <row r="32" spans="5:14" ht="15" customHeight="1">
      <c r="K32" t="s">
        <v>44</v>
      </c>
      <c r="L32">
        <f>SUMIFS('Dados Tratados'!$I$2:$I$151,'Dados Tratados'!$T$2:$T$151,1,'Dados Tratados'!$G$2:$G$151,K32)</f>
        <v>2</v>
      </c>
      <c r="M32">
        <f>SUMIFS('Dados Tratados'!$L$2:$L$151,'Dados Tratados'!$T$2:$T$151,1,'Dados Tratados'!$G$2:$G$151,K32)</f>
        <v>420</v>
      </c>
      <c r="N32">
        <f>IF(L32=0,9999,RANK(L32,$L$2:$L$108,0)+COUNTIF($L$2:L32,L32)-1)</f>
        <v>57</v>
      </c>
    </row>
    <row r="33" spans="11:14" ht="15" customHeight="1">
      <c r="K33" t="s">
        <v>260</v>
      </c>
      <c r="L33">
        <f>SUMIFS('Dados Tratados'!$I$2:$I$151,'Dados Tratados'!$T$2:$T$151,1,'Dados Tratados'!$G$2:$G$151,K33)</f>
        <v>2</v>
      </c>
      <c r="M33">
        <f>SUMIFS('Dados Tratados'!$L$2:$L$151,'Dados Tratados'!$T$2:$T$151,1,'Dados Tratados'!$G$2:$G$151,K33)</f>
        <v>290</v>
      </c>
      <c r="N33">
        <f>IF(L33=0,9999,RANK(L33,$L$2:$L$108,0)+COUNTIF($L$2:L33,L33)-1)</f>
        <v>58</v>
      </c>
    </row>
    <row r="34" spans="11:14" ht="15" customHeight="1">
      <c r="K34" t="s">
        <v>258</v>
      </c>
      <c r="L34">
        <f>SUMIFS('Dados Tratados'!$I$2:$I$151,'Dados Tratados'!$T$2:$T$151,1,'Dados Tratados'!$G$2:$G$151,K34)</f>
        <v>2</v>
      </c>
      <c r="M34">
        <f>SUMIFS('Dados Tratados'!$L$2:$L$151,'Dados Tratados'!$T$2:$T$151,1,'Dados Tratados'!$G$2:$G$151,K34)</f>
        <v>290</v>
      </c>
      <c r="N34">
        <f>IF(L34=0,9999,RANK(L34,$L$2:$L$108,0)+COUNTIF($L$2:L34,L34)-1)</f>
        <v>59</v>
      </c>
    </row>
    <row r="35" spans="11:14" ht="15" customHeight="1">
      <c r="K35" t="s">
        <v>254</v>
      </c>
      <c r="L35">
        <f>SUMIFS('Dados Tratados'!$I$2:$I$151,'Dados Tratados'!$T$2:$T$151,1,'Dados Tratados'!$G$2:$G$151,K35)</f>
        <v>5</v>
      </c>
      <c r="M35">
        <f>SUMIFS('Dados Tratados'!$L$2:$L$151,'Dados Tratados'!$T$2:$T$151,1,'Dados Tratados'!$G$2:$G$151,K35)</f>
        <v>445</v>
      </c>
      <c r="N35">
        <f>IF(L35=0,9999,RANK(L35,$L$2:$L$108,0)+COUNTIF($L$2:L35,L35)-1)</f>
        <v>16</v>
      </c>
    </row>
    <row r="36" spans="11:14" ht="15" customHeight="1">
      <c r="K36" t="s">
        <v>249</v>
      </c>
      <c r="L36">
        <f>SUMIFS('Dados Tratados'!$I$2:$I$151,'Dados Tratados'!$T$2:$T$151,1,'Dados Tratados'!$G$2:$G$151,K36)</f>
        <v>5</v>
      </c>
      <c r="M36">
        <f>SUMIFS('Dados Tratados'!$L$2:$L$151,'Dados Tratados'!$T$2:$T$151,1,'Dados Tratados'!$G$2:$G$151,K36)</f>
        <v>445</v>
      </c>
      <c r="N36">
        <f>IF(L36=0,9999,RANK(L36,$L$2:$L$108,0)+COUNTIF($L$2:L36,L36)-1)</f>
        <v>17</v>
      </c>
    </row>
    <row r="37" spans="11:14" ht="15" customHeight="1">
      <c r="K37" t="s">
        <v>182</v>
      </c>
      <c r="L37">
        <f>SUMIFS('Dados Tratados'!$I$2:$I$151,'Dados Tratados'!$T$2:$T$151,1,'Dados Tratados'!$G$2:$G$151,K37)</f>
        <v>2</v>
      </c>
      <c r="M37">
        <f>SUMIFS('Dados Tratados'!$L$2:$L$151,'Dados Tratados'!$T$2:$T$151,1,'Dados Tratados'!$G$2:$G$151,K37)</f>
        <v>198</v>
      </c>
      <c r="N37">
        <f>IF(L37=0,9999,RANK(L37,$L$2:$L$108,0)+COUNTIF($L$2:L37,L37)-1)</f>
        <v>60</v>
      </c>
    </row>
    <row r="38" spans="11:14" ht="15" customHeight="1">
      <c r="K38" t="s">
        <v>175</v>
      </c>
      <c r="L38">
        <f>SUMIFS('Dados Tratados'!$I$2:$I$151,'Dados Tratados'!$T$2:$T$151,1,'Dados Tratados'!$G$2:$G$151,K38)</f>
        <v>5</v>
      </c>
      <c r="M38">
        <f>SUMIFS('Dados Tratados'!$L$2:$L$151,'Dados Tratados'!$T$2:$T$151,1,'Dados Tratados'!$G$2:$G$151,K38)</f>
        <v>495</v>
      </c>
      <c r="N38">
        <f>IF(L38=0,9999,RANK(L38,$L$2:$L$108,0)+COUNTIF($L$2:L38,L38)-1)</f>
        <v>18</v>
      </c>
    </row>
    <row r="39" spans="11:14" ht="15" customHeight="1">
      <c r="K39" t="s">
        <v>284</v>
      </c>
      <c r="L39">
        <f>SUMIFS('Dados Tratados'!$I$2:$I$151,'Dados Tratados'!$T$2:$T$151,1,'Dados Tratados'!$G$2:$G$151,K39)</f>
        <v>1</v>
      </c>
      <c r="M39">
        <f>SUMIFS('Dados Tratados'!$L$2:$L$151,'Dados Tratados'!$T$2:$T$151,1,'Dados Tratados'!$G$2:$G$151,K39)</f>
        <v>189</v>
      </c>
      <c r="N39">
        <f>IF(L39=0,9999,RANK(L39,$L$2:$L$108,0)+COUNTIF($L$2:L39,L39)-1)</f>
        <v>82</v>
      </c>
    </row>
    <row r="40" spans="11:14" ht="15" customHeight="1">
      <c r="K40" t="s">
        <v>359</v>
      </c>
      <c r="L40">
        <f>SUMIFS('Dados Tratados'!$I$2:$I$151,'Dados Tratados'!$T$2:$T$151,1,'Dados Tratados'!$G$2:$G$151,K40)</f>
        <v>2</v>
      </c>
      <c r="M40">
        <f>SUMIFS('Dados Tratados'!$L$2:$L$151,'Dados Tratados'!$T$2:$T$151,1,'Dados Tratados'!$G$2:$G$151,K40)</f>
        <v>286.2</v>
      </c>
      <c r="N40">
        <f>IF(L40=0,9999,RANK(L40,$L$2:$L$108,0)+COUNTIF($L$2:L40,L40)-1)</f>
        <v>61</v>
      </c>
    </row>
    <row r="41" spans="11:14" ht="15" customHeight="1">
      <c r="K41" t="s">
        <v>87</v>
      </c>
      <c r="L41">
        <f>SUMIFS('Dados Tratados'!$I$2:$I$151,'Dados Tratados'!$T$2:$T$151,1,'Dados Tratados'!$G$2:$G$151,K41)</f>
        <v>6</v>
      </c>
      <c r="M41">
        <f>SUMIFS('Dados Tratados'!$L$2:$L$151,'Dados Tratados'!$T$2:$T$151,1,'Dados Tratados'!$G$2:$G$151,K41)</f>
        <v>357.5</v>
      </c>
      <c r="N41">
        <f>IF(L41=0,9999,RANK(L41,$L$2:$L$108,0)+COUNTIF($L$2:L41,L41)-1)</f>
        <v>12</v>
      </c>
    </row>
    <row r="42" spans="11:14" ht="15" customHeight="1">
      <c r="K42" t="s">
        <v>370</v>
      </c>
      <c r="L42">
        <f>SUMIFS('Dados Tratados'!$I$2:$I$151,'Dados Tratados'!$T$2:$T$151,1,'Dados Tratados'!$G$2:$G$151,K42)</f>
        <v>3</v>
      </c>
      <c r="M42">
        <f>SUMIFS('Dados Tratados'!$L$2:$L$151,'Dados Tratados'!$T$2:$T$151,1,'Dados Tratados'!$G$2:$G$151,K42)</f>
        <v>75</v>
      </c>
      <c r="N42">
        <f>IF(L42=0,9999,RANK(L42,$L$2:$L$108,0)+COUNTIF($L$2:L42,L42)-1)</f>
        <v>35</v>
      </c>
    </row>
    <row r="43" spans="11:14" ht="15" customHeight="1">
      <c r="K43" t="s">
        <v>374</v>
      </c>
      <c r="L43">
        <f>SUMIFS('Dados Tratados'!$I$2:$I$151,'Dados Tratados'!$T$2:$T$151,1,'Dados Tratados'!$G$2:$G$151,K43)</f>
        <v>2</v>
      </c>
      <c r="M43">
        <f>SUMIFS('Dados Tratados'!$L$2:$L$151,'Dados Tratados'!$T$2:$T$151,1,'Dados Tratados'!$G$2:$G$151,K43)</f>
        <v>50</v>
      </c>
      <c r="N43">
        <f>IF(L43=0,9999,RANK(L43,$L$2:$L$108,0)+COUNTIF($L$2:L43,L43)-1)</f>
        <v>62</v>
      </c>
    </row>
    <row r="44" spans="11:14" ht="15" customHeight="1">
      <c r="K44" t="s">
        <v>305</v>
      </c>
      <c r="L44">
        <f>SUMIFS('Dados Tratados'!$I$2:$I$151,'Dados Tratados'!$T$2:$T$151,1,'Dados Tratados'!$G$2:$G$151,K44)</f>
        <v>1</v>
      </c>
      <c r="M44">
        <f>SUMIFS('Dados Tratados'!$L$2:$L$151,'Dados Tratados'!$T$2:$T$151,1,'Dados Tratados'!$G$2:$G$151,K44)</f>
        <v>499</v>
      </c>
      <c r="N44">
        <f>IF(L44=0,9999,RANK(L44,$L$2:$L$108,0)+COUNTIF($L$2:L44,L44)-1)</f>
        <v>83</v>
      </c>
    </row>
    <row r="45" spans="11:14" ht="15" customHeight="1">
      <c r="K45" t="s">
        <v>298</v>
      </c>
      <c r="L45">
        <f>SUMIFS('Dados Tratados'!$I$2:$I$151,'Dados Tratados'!$T$2:$T$151,1,'Dados Tratados'!$G$2:$G$151,K45)</f>
        <v>1</v>
      </c>
      <c r="M45">
        <f>SUMIFS('Dados Tratados'!$L$2:$L$151,'Dados Tratados'!$T$2:$T$151,1,'Dados Tratados'!$G$2:$G$151,K45)</f>
        <v>499</v>
      </c>
      <c r="N45">
        <f>IF(L45=0,9999,RANK(L45,$L$2:$L$108,0)+COUNTIF($L$2:L45,L45)-1)</f>
        <v>84</v>
      </c>
    </row>
    <row r="46" spans="11:14" ht="15" customHeight="1">
      <c r="K46" t="s">
        <v>301</v>
      </c>
      <c r="L46">
        <f>SUMIFS('Dados Tratados'!$I$2:$I$151,'Dados Tratados'!$T$2:$T$151,1,'Dados Tratados'!$G$2:$G$151,K46)</f>
        <v>1</v>
      </c>
      <c r="M46">
        <f>SUMIFS('Dados Tratados'!$L$2:$L$151,'Dados Tratados'!$T$2:$T$151,1,'Dados Tratados'!$G$2:$G$151,K46)</f>
        <v>499</v>
      </c>
      <c r="N46">
        <f>IF(L46=0,9999,RANK(L46,$L$2:$L$108,0)+COUNTIF($L$2:L46,L46)-1)</f>
        <v>85</v>
      </c>
    </row>
    <row r="47" spans="11:14" ht="15" customHeight="1">
      <c r="K47" t="s">
        <v>12</v>
      </c>
      <c r="L47">
        <f>SUMIFS('Dados Tratados'!$I$2:$I$151,'Dados Tratados'!$T$2:$T$151,1,'Dados Tratados'!$G$2:$G$151,K47)</f>
        <v>6</v>
      </c>
      <c r="M47">
        <f>SUMIFS('Dados Tratados'!$L$2:$L$151,'Dados Tratados'!$T$2:$T$151,1,'Dados Tratados'!$G$2:$G$151,K47)</f>
        <v>1090</v>
      </c>
      <c r="N47">
        <f>IF(L47=0,9999,RANK(L47,$L$2:$L$108,0)+COUNTIF($L$2:L47,L47)-1)</f>
        <v>13</v>
      </c>
    </row>
    <row r="48" spans="11:14" ht="15" customHeight="1">
      <c r="K48" t="s">
        <v>109</v>
      </c>
      <c r="L48">
        <f>SUMIFS('Dados Tratados'!$I$2:$I$151,'Dados Tratados'!$T$2:$T$151,1,'Dados Tratados'!$G$2:$G$151,K48)</f>
        <v>2</v>
      </c>
      <c r="M48">
        <f>SUMIFS('Dados Tratados'!$L$2:$L$151,'Dados Tratados'!$T$2:$T$151,1,'Dados Tratados'!$G$2:$G$151,K48)</f>
        <v>490</v>
      </c>
      <c r="N48">
        <f>IF(L48=0,9999,RANK(L48,$L$2:$L$108,0)+COUNTIF($L$2:L48,L48)-1)</f>
        <v>63</v>
      </c>
    </row>
    <row r="49" spans="11:14" ht="15" customHeight="1">
      <c r="K49" t="s">
        <v>107</v>
      </c>
      <c r="L49">
        <f>SUMIFS('Dados Tratados'!$I$2:$I$151,'Dados Tratados'!$T$2:$T$151,1,'Dados Tratados'!$G$2:$G$151,K49)</f>
        <v>3</v>
      </c>
      <c r="M49">
        <f>SUMIFS('Dados Tratados'!$L$2:$L$151,'Dados Tratados'!$T$2:$T$151,1,'Dados Tratados'!$G$2:$G$151,K49)</f>
        <v>735</v>
      </c>
      <c r="N49">
        <f>IF(L49=0,9999,RANK(L49,$L$2:$L$108,0)+COUNTIF($L$2:L49,L49)-1)</f>
        <v>36</v>
      </c>
    </row>
    <row r="50" spans="11:14" ht="15" customHeight="1">
      <c r="K50" t="s">
        <v>113</v>
      </c>
      <c r="L50">
        <f>SUMIFS('Dados Tratados'!$I$2:$I$151,'Dados Tratados'!$T$2:$T$151,1,'Dados Tratados'!$G$2:$G$151,K50)</f>
        <v>1</v>
      </c>
      <c r="M50">
        <f>SUMIFS('Dados Tratados'!$L$2:$L$151,'Dados Tratados'!$T$2:$T$151,1,'Dados Tratados'!$G$2:$G$151,K50)</f>
        <v>320</v>
      </c>
      <c r="N50">
        <f>IF(L50=0,9999,RANK(L50,$L$2:$L$108,0)+COUNTIF($L$2:L50,L50)-1)</f>
        <v>86</v>
      </c>
    </row>
    <row r="51" spans="11:14" ht="15" customHeight="1">
      <c r="K51" t="s">
        <v>309</v>
      </c>
      <c r="L51">
        <f>SUMIFS('Dados Tratados'!$I$2:$I$151,'Dados Tratados'!$T$2:$T$151,1,'Dados Tratados'!$G$2:$G$151,K51)</f>
        <v>2</v>
      </c>
      <c r="M51">
        <f>SUMIFS('Dados Tratados'!$L$2:$L$151,'Dados Tratados'!$T$2:$T$151,1,'Dados Tratados'!$G$2:$G$151,K51)</f>
        <v>1043.0999999999999</v>
      </c>
      <c r="N51">
        <f>IF(L51=0,9999,RANK(L51,$L$2:$L$108,0)+COUNTIF($L$2:L51,L51)-1)</f>
        <v>64</v>
      </c>
    </row>
    <row r="52" spans="11:14" ht="15" customHeight="1">
      <c r="K52" t="s">
        <v>307</v>
      </c>
      <c r="L52">
        <f>SUMIFS('Dados Tratados'!$I$2:$I$151,'Dados Tratados'!$T$2:$T$151,1,'Dados Tratados'!$G$2:$G$151,K52)</f>
        <v>3</v>
      </c>
      <c r="M52">
        <f>SUMIFS('Dados Tratados'!$L$2:$L$151,'Dados Tratados'!$T$2:$T$151,1,'Dados Tratados'!$G$2:$G$151,K52)</f>
        <v>1592.1</v>
      </c>
      <c r="N52">
        <f>IF(L52=0,9999,RANK(L52,$L$2:$L$108,0)+COUNTIF($L$2:L52,L52)-1)</f>
        <v>37</v>
      </c>
    </row>
    <row r="53" spans="11:14" ht="15" customHeight="1">
      <c r="K53" t="s">
        <v>266</v>
      </c>
      <c r="L53">
        <f>SUMIFS('Dados Tratados'!$I$2:$I$151,'Dados Tratados'!$T$2:$T$151,1,'Dados Tratados'!$G$2:$G$151,K53)</f>
        <v>1</v>
      </c>
      <c r="M53">
        <f>SUMIFS('Dados Tratados'!$L$2:$L$151,'Dados Tratados'!$T$2:$T$151,1,'Dados Tratados'!$G$2:$G$151,K53)</f>
        <v>299</v>
      </c>
      <c r="N53">
        <f>IF(L53=0,9999,RANK(L53,$L$2:$L$108,0)+COUNTIF($L$2:L53,L53)-1)</f>
        <v>87</v>
      </c>
    </row>
    <row r="54" spans="11:14" ht="15" customHeight="1">
      <c r="K54" t="s">
        <v>263</v>
      </c>
      <c r="L54">
        <f>SUMIFS('Dados Tratados'!$I$2:$I$151,'Dados Tratados'!$T$2:$T$151,1,'Dados Tratados'!$G$2:$G$151,K54)</f>
        <v>1</v>
      </c>
      <c r="M54">
        <f>SUMIFS('Dados Tratados'!$L$2:$L$151,'Dados Tratados'!$T$2:$T$151,1,'Dados Tratados'!$G$2:$G$151,K54)</f>
        <v>299</v>
      </c>
      <c r="N54">
        <f>IF(L54=0,9999,RANK(L54,$L$2:$L$108,0)+COUNTIF($L$2:L54,L54)-1)</f>
        <v>88</v>
      </c>
    </row>
    <row r="55" spans="11:14" ht="15" customHeight="1">
      <c r="K55" t="s">
        <v>196</v>
      </c>
      <c r="L55">
        <f>SUMIFS('Dados Tratados'!$I$2:$I$151,'Dados Tratados'!$T$2:$T$151,1,'Dados Tratados'!$G$2:$G$151,K55)</f>
        <v>4</v>
      </c>
      <c r="M55">
        <f>SUMIFS('Dados Tratados'!$L$2:$L$151,'Dados Tratados'!$T$2:$T$151,1,'Dados Tratados'!$G$2:$G$151,K55)</f>
        <v>79.599999999999994</v>
      </c>
      <c r="N55">
        <f>IF(L55=0,9999,RANK(L55,$L$2:$L$108,0)+COUNTIF($L$2:L55,L55)-1)</f>
        <v>25</v>
      </c>
    </row>
    <row r="56" spans="11:14" ht="15" customHeight="1">
      <c r="K56" t="s">
        <v>321</v>
      </c>
      <c r="L56">
        <f>SUMIFS('Dados Tratados'!$I$2:$I$151,'Dados Tratados'!$T$2:$T$151,1,'Dados Tratados'!$G$2:$G$151,K56)</f>
        <v>2</v>
      </c>
      <c r="M56">
        <f>SUMIFS('Dados Tratados'!$L$2:$L$151,'Dados Tratados'!$T$2:$T$151,1,'Dados Tratados'!$G$2:$G$151,K56)</f>
        <v>58</v>
      </c>
      <c r="N56">
        <f>IF(L56=0,9999,RANK(L56,$L$2:$L$108,0)+COUNTIF($L$2:L56,L56)-1)</f>
        <v>65</v>
      </c>
    </row>
    <row r="57" spans="11:14" ht="15" customHeight="1">
      <c r="K57" t="s">
        <v>219</v>
      </c>
      <c r="L57">
        <f>SUMIFS('Dados Tratados'!$I$2:$I$151,'Dados Tratados'!$T$2:$T$151,1,'Dados Tratados'!$G$2:$G$151,K57)</f>
        <v>1</v>
      </c>
      <c r="M57">
        <f>SUMIFS('Dados Tratados'!$L$2:$L$151,'Dados Tratados'!$T$2:$T$151,1,'Dados Tratados'!$G$2:$G$151,K57)</f>
        <v>320</v>
      </c>
      <c r="N57">
        <f>IF(L57=0,9999,RANK(L57,$L$2:$L$108,0)+COUNTIF($L$2:L57,L57)-1)</f>
        <v>89</v>
      </c>
    </row>
    <row r="58" spans="11:14" ht="15" customHeight="1">
      <c r="K58" t="s">
        <v>223</v>
      </c>
      <c r="L58">
        <f>SUMIFS('Dados Tratados'!$I$2:$I$151,'Dados Tratados'!$T$2:$T$151,1,'Dados Tratados'!$G$2:$G$151,K58)</f>
        <v>1</v>
      </c>
      <c r="M58">
        <f>SUMIFS('Dados Tratados'!$L$2:$L$151,'Dados Tratados'!$T$2:$T$151,1,'Dados Tratados'!$G$2:$G$151,K58)</f>
        <v>320</v>
      </c>
      <c r="N58">
        <f>IF(L58=0,9999,RANK(L58,$L$2:$L$108,0)+COUNTIF($L$2:L58,L58)-1)</f>
        <v>90</v>
      </c>
    </row>
    <row r="59" spans="11:14" ht="15" customHeight="1">
      <c r="K59" t="s">
        <v>95</v>
      </c>
      <c r="L59">
        <f>SUMIFS('Dados Tratados'!$I$2:$I$151,'Dados Tratados'!$T$2:$T$151,1,'Dados Tratados'!$G$2:$G$151,K59)</f>
        <v>35</v>
      </c>
      <c r="M59">
        <f>SUMIFS('Dados Tratados'!$L$2:$L$151,'Dados Tratados'!$T$2:$T$151,1,'Dados Tratados'!$G$2:$G$151,K59)</f>
        <v>157.5</v>
      </c>
      <c r="N59">
        <f>IF(L59=0,9999,RANK(L59,$L$2:$L$108,0)+COUNTIF($L$2:L59,L59)-1)</f>
        <v>2</v>
      </c>
    </row>
    <row r="60" spans="11:14" ht="15" customHeight="1">
      <c r="K60" t="s">
        <v>74</v>
      </c>
      <c r="L60">
        <f>SUMIFS('Dados Tratados'!$I$2:$I$151,'Dados Tratados'!$T$2:$T$151,1,'Dados Tratados'!$G$2:$G$151,K60)</f>
        <v>3</v>
      </c>
      <c r="M60">
        <f>SUMIFS('Dados Tratados'!$L$2:$L$151,'Dados Tratados'!$T$2:$T$151,1,'Dados Tratados'!$G$2:$G$151,K60)</f>
        <v>45</v>
      </c>
      <c r="N60">
        <f>IF(L60=0,9999,RANK(L60,$L$2:$L$108,0)+COUNTIF($L$2:L60,L60)-1)</f>
        <v>38</v>
      </c>
    </row>
    <row r="61" spans="11:14" ht="15" customHeight="1">
      <c r="K61" t="s">
        <v>69</v>
      </c>
      <c r="L61">
        <f>SUMIFS('Dados Tratados'!$I$2:$I$151,'Dados Tratados'!$T$2:$T$151,1,'Dados Tratados'!$G$2:$G$151,K61)</f>
        <v>8</v>
      </c>
      <c r="M61">
        <f>SUMIFS('Dados Tratados'!$L$2:$L$151,'Dados Tratados'!$T$2:$T$151,1,'Dados Tratados'!$G$2:$G$151,K61)</f>
        <v>120</v>
      </c>
      <c r="N61">
        <f>IF(L61=0,9999,RANK(L61,$L$2:$L$108,0)+COUNTIF($L$2:L61,L61)-1)</f>
        <v>6</v>
      </c>
    </row>
    <row r="62" spans="11:14" ht="15" customHeight="1">
      <c r="K62" t="s">
        <v>27</v>
      </c>
      <c r="L62">
        <f>SUMIFS('Dados Tratados'!$I$2:$I$151,'Dados Tratados'!$T$2:$T$151,1,'Dados Tratados'!$G$2:$G$151,K62)</f>
        <v>5</v>
      </c>
      <c r="M62">
        <f>SUMIFS('Dados Tratados'!$L$2:$L$151,'Dados Tratados'!$T$2:$T$151,1,'Dados Tratados'!$G$2:$G$151,K62)</f>
        <v>3357.5</v>
      </c>
      <c r="N62">
        <f>IF(L62=0,9999,RANK(L62,$L$2:$L$108,0)+COUNTIF($L$2:L62,L62)-1)</f>
        <v>19</v>
      </c>
    </row>
    <row r="63" spans="11:14" ht="15" customHeight="1">
      <c r="K63" t="s">
        <v>134</v>
      </c>
      <c r="L63">
        <f>SUMIFS('Dados Tratados'!$I$2:$I$151,'Dados Tratados'!$T$2:$T$151,1,'Dados Tratados'!$G$2:$G$151,K63)</f>
        <v>5</v>
      </c>
      <c r="M63">
        <f>SUMIFS('Dados Tratados'!$L$2:$L$151,'Dados Tratados'!$T$2:$T$151,1,'Dados Tratados'!$G$2:$G$151,K63)</f>
        <v>185.25</v>
      </c>
      <c r="N63">
        <f>IF(L63=0,9999,RANK(L63,$L$2:$L$108,0)+COUNTIF($L$2:L63,L63)-1)</f>
        <v>20</v>
      </c>
    </row>
    <row r="64" spans="11:14" ht="15" customHeight="1">
      <c r="K64" t="s">
        <v>138</v>
      </c>
      <c r="L64">
        <f>SUMIFS('Dados Tratados'!$I$2:$I$151,'Dados Tratados'!$T$2:$T$151,1,'Dados Tratados'!$G$2:$G$151,K64)</f>
        <v>1</v>
      </c>
      <c r="M64">
        <f>SUMIFS('Dados Tratados'!$L$2:$L$151,'Dados Tratados'!$T$2:$T$151,1,'Dados Tratados'!$G$2:$G$151,K64)</f>
        <v>39</v>
      </c>
      <c r="N64">
        <f>IF(L64=0,9999,RANK(L64,$L$2:$L$108,0)+COUNTIF($L$2:L64,L64)-1)</f>
        <v>91</v>
      </c>
    </row>
    <row r="65" spans="11:14" ht="15" customHeight="1">
      <c r="K65" t="s">
        <v>387</v>
      </c>
      <c r="L65">
        <f>SUMIFS('Dados Tratados'!$I$2:$I$151,'Dados Tratados'!$T$2:$T$151,1,'Dados Tratados'!$G$2:$G$151,K65)</f>
        <v>0</v>
      </c>
      <c r="M65">
        <f>SUMIFS('Dados Tratados'!$L$2:$L$151,'Dados Tratados'!$T$2:$T$151,1,'Dados Tratados'!$G$2:$G$151,K65)</f>
        <v>0</v>
      </c>
      <c r="N65">
        <f>IF(L65=0,9999,RANK(L65,$L$2:$L$108,0)+COUNTIF($L$2:L65,L65)-1)</f>
        <v>9999</v>
      </c>
    </row>
    <row r="66" spans="11:14" ht="15" customHeight="1">
      <c r="K66" t="s">
        <v>164</v>
      </c>
      <c r="L66">
        <f>SUMIFS('Dados Tratados'!$I$2:$I$151,'Dados Tratados'!$T$2:$T$151,1,'Dados Tratados'!$G$2:$G$151,K66)</f>
        <v>1</v>
      </c>
      <c r="M66">
        <f>SUMIFS('Dados Tratados'!$L$2:$L$151,'Dados Tratados'!$T$2:$T$151,1,'Dados Tratados'!$G$2:$G$151,K66)</f>
        <v>590</v>
      </c>
      <c r="N66">
        <f>IF(L66=0,9999,RANK(L66,$L$2:$L$108,0)+COUNTIF($L$2:L66,L66)-1)</f>
        <v>92</v>
      </c>
    </row>
    <row r="67" spans="11:14" ht="15" customHeight="1">
      <c r="K67" t="s">
        <v>160</v>
      </c>
      <c r="L67">
        <f>SUMIFS('Dados Tratados'!$I$2:$I$151,'Dados Tratados'!$T$2:$T$151,1,'Dados Tratados'!$G$2:$G$151,K67)</f>
        <v>1</v>
      </c>
      <c r="M67">
        <f>SUMIFS('Dados Tratados'!$L$2:$L$151,'Dados Tratados'!$T$2:$T$151,1,'Dados Tratados'!$G$2:$G$151,K67)</f>
        <v>531</v>
      </c>
      <c r="N67">
        <f>IF(L67=0,9999,RANK(L67,$L$2:$L$108,0)+COUNTIF($L$2:L67,L67)-1)</f>
        <v>93</v>
      </c>
    </row>
    <row r="68" spans="11:14" ht="15" customHeight="1">
      <c r="K68" t="s">
        <v>319</v>
      </c>
      <c r="L68">
        <f>SUMIFS('Dados Tratados'!$I$2:$I$151,'Dados Tratados'!$T$2:$T$151,1,'Dados Tratados'!$G$2:$G$151,K68)</f>
        <v>2</v>
      </c>
      <c r="M68">
        <f>SUMIFS('Dados Tratados'!$L$2:$L$151,'Dados Tratados'!$T$2:$T$151,1,'Dados Tratados'!$G$2:$G$151,K68)</f>
        <v>58</v>
      </c>
      <c r="N68">
        <f>IF(L68=0,9999,RANK(L68,$L$2:$L$108,0)+COUNTIF($L$2:L68,L68)-1)</f>
        <v>66</v>
      </c>
    </row>
    <row r="69" spans="11:14" ht="15" customHeight="1">
      <c r="K69" t="s">
        <v>23</v>
      </c>
      <c r="L69">
        <f>SUMIFS('Dados Tratados'!$I$2:$I$151,'Dados Tratados'!$T$2:$T$151,1,'Dados Tratados'!$G$2:$G$151,K69)</f>
        <v>24</v>
      </c>
      <c r="M69">
        <f>SUMIFS('Dados Tratados'!$L$2:$L$151,'Dados Tratados'!$T$2:$T$151,1,'Dados Tratados'!$G$2:$G$151,K69)</f>
        <v>580</v>
      </c>
      <c r="N69">
        <f>IF(L69=0,9999,RANK(L69,$L$2:$L$108,0)+COUNTIF($L$2:L69,L69)-1)</f>
        <v>4</v>
      </c>
    </row>
    <row r="70" spans="11:14" ht="15" customHeight="1">
      <c r="K70" t="s">
        <v>226</v>
      </c>
      <c r="L70">
        <f>SUMIFS('Dados Tratados'!$I$2:$I$151,'Dados Tratados'!$T$2:$T$151,1,'Dados Tratados'!$G$2:$G$151,K70)</f>
        <v>4</v>
      </c>
      <c r="M70">
        <f>SUMIFS('Dados Tratados'!$L$2:$L$151,'Dados Tratados'!$T$2:$T$151,1,'Dados Tratados'!$G$2:$G$151,K70)</f>
        <v>1512</v>
      </c>
      <c r="N70">
        <f>IF(L70=0,9999,RANK(L70,$L$2:$L$108,0)+COUNTIF($L$2:L70,L70)-1)</f>
        <v>26</v>
      </c>
    </row>
    <row r="71" spans="11:14" ht="15" customHeight="1">
      <c r="K71" t="s">
        <v>52</v>
      </c>
      <c r="L71">
        <f>SUMIFS('Dados Tratados'!$I$2:$I$151,'Dados Tratados'!$T$2:$T$151,1,'Dados Tratados'!$G$2:$G$151,K71)</f>
        <v>4</v>
      </c>
      <c r="M71">
        <f>SUMIFS('Dados Tratados'!$L$2:$L$151,'Dados Tratados'!$T$2:$T$151,1,'Dados Tratados'!$G$2:$G$151,K71)</f>
        <v>380</v>
      </c>
      <c r="N71">
        <f>IF(L71=0,9999,RANK(L71,$L$2:$L$108,0)+COUNTIF($L$2:L71,L71)-1)</f>
        <v>27</v>
      </c>
    </row>
    <row r="72" spans="11:14" ht="15" customHeight="1">
      <c r="K72" t="s">
        <v>39</v>
      </c>
      <c r="L72">
        <f>SUMIFS('Dados Tratados'!$I$2:$I$151,'Dados Tratados'!$T$2:$T$151,1,'Dados Tratados'!$G$2:$G$151,K72)</f>
        <v>4</v>
      </c>
      <c r="M72">
        <f>SUMIFS('Dados Tratados'!$L$2:$L$151,'Dados Tratados'!$T$2:$T$151,1,'Dados Tratados'!$G$2:$G$151,K72)</f>
        <v>468</v>
      </c>
      <c r="N72">
        <f>IF(L72=0,9999,RANK(L72,$L$2:$L$108,0)+COUNTIF($L$2:L72,L72)-1)</f>
        <v>28</v>
      </c>
    </row>
    <row r="73" spans="11:14" ht="15" customHeight="1">
      <c r="K73" t="s">
        <v>34</v>
      </c>
      <c r="L73">
        <f>SUMIFS('Dados Tratados'!$I$2:$I$151,'Dados Tratados'!$T$2:$T$151,1,'Dados Tratados'!$G$2:$G$151,K73)</f>
        <v>7</v>
      </c>
      <c r="M73">
        <f>SUMIFS('Dados Tratados'!$L$2:$L$151,'Dados Tratados'!$T$2:$T$151,1,'Dados Tratados'!$G$2:$G$151,K73)</f>
        <v>822</v>
      </c>
      <c r="N73">
        <f>IF(L73=0,9999,RANK(L73,$L$2:$L$108,0)+COUNTIF($L$2:L73,L73)-1)</f>
        <v>7</v>
      </c>
    </row>
    <row r="74" spans="11:14" ht="15" customHeight="1">
      <c r="K74" t="s">
        <v>327</v>
      </c>
      <c r="L74">
        <f>SUMIFS('Dados Tratados'!$I$2:$I$151,'Dados Tratados'!$T$2:$T$151,1,'Dados Tratados'!$G$2:$G$151,K74)</f>
        <v>2</v>
      </c>
      <c r="M74">
        <f>SUMIFS('Dados Tratados'!$L$2:$L$151,'Dados Tratados'!$T$2:$T$151,1,'Dados Tratados'!$G$2:$G$151,K74)</f>
        <v>628.20000000000005</v>
      </c>
      <c r="N74">
        <f>IF(L74=0,9999,RANK(L74,$L$2:$L$108,0)+COUNTIF($L$2:L74,L74)-1)</f>
        <v>67</v>
      </c>
    </row>
    <row r="75" spans="11:14" ht="15" customHeight="1">
      <c r="K75" t="s">
        <v>325</v>
      </c>
      <c r="L75">
        <f>SUMIFS('Dados Tratados'!$I$2:$I$151,'Dados Tratados'!$T$2:$T$151,1,'Dados Tratados'!$G$2:$G$151,K75)</f>
        <v>4</v>
      </c>
      <c r="M75">
        <f>SUMIFS('Dados Tratados'!$L$2:$L$151,'Dados Tratados'!$T$2:$T$151,1,'Dados Tratados'!$G$2:$G$151,K75)</f>
        <v>736</v>
      </c>
      <c r="N75">
        <f>IF(L75=0,9999,RANK(L75,$L$2:$L$108,0)+COUNTIF($L$2:L75,L75)-1)</f>
        <v>29</v>
      </c>
    </row>
    <row r="76" spans="11:14" ht="15" customHeight="1">
      <c r="K76" t="s">
        <v>168</v>
      </c>
      <c r="L76">
        <f>SUMIFS('Dados Tratados'!$I$2:$I$151,'Dados Tratados'!$T$2:$T$151,1,'Dados Tratados'!$G$2:$G$151,K76)</f>
        <v>3</v>
      </c>
      <c r="M76">
        <f>SUMIFS('Dados Tratados'!$L$2:$L$151,'Dados Tratados'!$T$2:$T$151,1,'Dados Tratados'!$G$2:$G$151,K76)</f>
        <v>493</v>
      </c>
      <c r="N76">
        <f>IF(L76=0,9999,RANK(L76,$L$2:$L$108,0)+COUNTIF($L$2:L76,L76)-1)</f>
        <v>39</v>
      </c>
    </row>
    <row r="77" spans="11:14" ht="15" customHeight="1">
      <c r="K77" t="s">
        <v>384</v>
      </c>
      <c r="L77">
        <f>SUMIFS('Dados Tratados'!$I$2:$I$151,'Dados Tratados'!$T$2:$T$151,1,'Dados Tratados'!$G$2:$G$151,K77)</f>
        <v>2</v>
      </c>
      <c r="M77">
        <f>SUMIFS('Dados Tratados'!$L$2:$L$151,'Dados Tratados'!$T$2:$T$151,1,'Dados Tratados'!$G$2:$G$151,K77)</f>
        <v>70</v>
      </c>
      <c r="N77">
        <f>IF(L77=0,9999,RANK(L77,$L$2:$L$108,0)+COUNTIF($L$2:L77,L77)-1)</f>
        <v>68</v>
      </c>
    </row>
    <row r="78" spans="11:14" ht="15" customHeight="1">
      <c r="K78" t="s">
        <v>382</v>
      </c>
      <c r="L78">
        <f>SUMIFS('Dados Tratados'!$I$2:$I$151,'Dados Tratados'!$T$2:$T$151,1,'Dados Tratados'!$G$2:$G$151,K78)</f>
        <v>2</v>
      </c>
      <c r="M78">
        <f>SUMIFS('Dados Tratados'!$L$2:$L$151,'Dados Tratados'!$T$2:$T$151,1,'Dados Tratados'!$G$2:$G$151,K78)</f>
        <v>70</v>
      </c>
      <c r="N78">
        <f>IF(L78=0,9999,RANK(L78,$L$2:$L$108,0)+COUNTIF($L$2:L78,L78)-1)</f>
        <v>69</v>
      </c>
    </row>
    <row r="79" spans="11:14" ht="15" customHeight="1">
      <c r="K79" t="s">
        <v>104</v>
      </c>
      <c r="L79">
        <f>SUMIFS('Dados Tratados'!$I$2:$I$151,'Dados Tratados'!$T$2:$T$151,1,'Dados Tratados'!$G$2:$G$151,K79)</f>
        <v>2</v>
      </c>
      <c r="M79">
        <f>SUMIFS('Dados Tratados'!$L$2:$L$151,'Dados Tratados'!$T$2:$T$151,1,'Dados Tratados'!$G$2:$G$151,K79)</f>
        <v>323.7</v>
      </c>
      <c r="N79">
        <f>IF(L79=0,9999,RANK(L79,$L$2:$L$108,0)+COUNTIF($L$2:L79,L79)-1)</f>
        <v>70</v>
      </c>
    </row>
    <row r="80" spans="11:14" ht="15" customHeight="1">
      <c r="K80" t="s">
        <v>331</v>
      </c>
      <c r="L80">
        <f>SUMIFS('Dados Tratados'!$I$2:$I$151,'Dados Tratados'!$T$2:$T$151,1,'Dados Tratados'!$G$2:$G$151,K80)</f>
        <v>2</v>
      </c>
      <c r="M80">
        <f>SUMIFS('Dados Tratados'!$L$2:$L$151,'Dados Tratados'!$T$2:$T$151,1,'Dados Tratados'!$G$2:$G$151,K80)</f>
        <v>245.1</v>
      </c>
      <c r="N80">
        <f>IF(L80=0,9999,RANK(L80,$L$2:$L$108,0)+COUNTIF($L$2:L80,L80)-1)</f>
        <v>71</v>
      </c>
    </row>
    <row r="81" spans="11:14" ht="15" customHeight="1">
      <c r="K81" t="s">
        <v>333</v>
      </c>
      <c r="L81">
        <f>SUMIFS('Dados Tratados'!$I$2:$I$151,'Dados Tratados'!$T$2:$T$151,1,'Dados Tratados'!$G$2:$G$151,K81)</f>
        <v>1</v>
      </c>
      <c r="M81">
        <f>SUMIFS('Dados Tratados'!$L$2:$L$151,'Dados Tratados'!$T$2:$T$151,1,'Dados Tratados'!$G$2:$G$151,K81)</f>
        <v>249</v>
      </c>
      <c r="N81">
        <f>IF(L81=0,9999,RANK(L81,$L$2:$L$108,0)+COUNTIF($L$2:L81,L81)-1)</f>
        <v>94</v>
      </c>
    </row>
    <row r="82" spans="11:14" ht="15" customHeight="1">
      <c r="K82" t="s">
        <v>130</v>
      </c>
      <c r="L82">
        <f>SUMIFS('Dados Tratados'!$I$2:$I$151,'Dados Tratados'!$T$2:$T$151,1,'Dados Tratados'!$G$2:$G$151,K82)</f>
        <v>7</v>
      </c>
      <c r="M82">
        <f>SUMIFS('Dados Tratados'!$L$2:$L$151,'Dados Tratados'!$T$2:$T$151,1,'Dados Tratados'!$G$2:$G$151,K82)</f>
        <v>4555.8500000000004</v>
      </c>
      <c r="N82">
        <f>IF(L82=0,9999,RANK(L82,$L$2:$L$108,0)+COUNTIF($L$2:L82,L82)-1)</f>
        <v>8</v>
      </c>
    </row>
    <row r="83" spans="11:14" ht="15" customHeight="1">
      <c r="K83" t="s">
        <v>122</v>
      </c>
      <c r="L83">
        <f>SUMIFS('Dados Tratados'!$I$2:$I$151,'Dados Tratados'!$T$2:$T$151,1,'Dados Tratados'!$G$2:$G$151,K83)</f>
        <v>7</v>
      </c>
      <c r="M83">
        <f>SUMIFS('Dados Tratados'!$L$2:$L$151,'Dados Tratados'!$T$2:$T$151,1,'Dados Tratados'!$G$2:$G$151,K83)</f>
        <v>4555.8500000000004</v>
      </c>
      <c r="N83">
        <f>IF(L83=0,9999,RANK(L83,$L$2:$L$108,0)+COUNTIF($L$2:L83,L83)-1)</f>
        <v>9</v>
      </c>
    </row>
    <row r="84" spans="11:14" ht="15" customHeight="1">
      <c r="K84" t="s">
        <v>231</v>
      </c>
      <c r="L84">
        <f>SUMIFS('Dados Tratados'!$I$2:$I$151,'Dados Tratados'!$T$2:$T$151,1,'Dados Tratados'!$G$2:$G$151,K84)</f>
        <v>6</v>
      </c>
      <c r="M84">
        <f>SUMIFS('Dados Tratados'!$L$2:$L$151,'Dados Tratados'!$T$2:$T$151,1,'Dados Tratados'!$G$2:$G$151,K84)</f>
        <v>1170</v>
      </c>
      <c r="N84">
        <f>IF(L84=0,9999,RANK(L84,$L$2:$L$108,0)+COUNTIF($L$2:L84,L84)-1)</f>
        <v>14</v>
      </c>
    </row>
    <row r="85" spans="11:14" ht="15" customHeight="1">
      <c r="K85" t="s">
        <v>233</v>
      </c>
      <c r="L85">
        <f>SUMIFS('Dados Tratados'!$I$2:$I$151,'Dados Tratados'!$T$2:$T$151,1,'Dados Tratados'!$G$2:$G$151,K85)</f>
        <v>6</v>
      </c>
      <c r="M85">
        <f>SUMIFS('Dados Tratados'!$L$2:$L$151,'Dados Tratados'!$T$2:$T$151,1,'Dados Tratados'!$G$2:$G$151,K85)</f>
        <v>1170</v>
      </c>
      <c r="N85">
        <f>IF(L85=0,9999,RANK(L85,$L$2:$L$108,0)+COUNTIF($L$2:L85,L85)-1)</f>
        <v>15</v>
      </c>
    </row>
    <row r="86" spans="11:14" ht="15" customHeight="1">
      <c r="K86" t="s">
        <v>57</v>
      </c>
      <c r="L86">
        <f>SUMIFS('Dados Tratados'!$I$2:$I$151,'Dados Tratados'!$T$2:$T$151,1,'Dados Tratados'!$G$2:$G$151,K86)</f>
        <v>2</v>
      </c>
      <c r="M86">
        <f>SUMIFS('Dados Tratados'!$L$2:$L$151,'Dados Tratados'!$T$2:$T$151,1,'Dados Tratados'!$G$2:$G$151,K86)</f>
        <v>140</v>
      </c>
      <c r="N86">
        <f>IF(L86=0,9999,RANK(L86,$L$2:$L$108,0)+COUNTIF($L$2:L86,L86)-1)</f>
        <v>72</v>
      </c>
    </row>
    <row r="87" spans="11:14" ht="15" customHeight="1">
      <c r="K87" t="s">
        <v>346</v>
      </c>
      <c r="L87">
        <f>SUMIFS('Dados Tratados'!$I$2:$I$151,'Dados Tratados'!$T$2:$T$151,1,'Dados Tratados'!$G$2:$G$151,K87)</f>
        <v>3</v>
      </c>
      <c r="M87">
        <f>SUMIFS('Dados Tratados'!$L$2:$L$151,'Dados Tratados'!$T$2:$T$151,1,'Dados Tratados'!$G$2:$G$151,K87)</f>
        <v>1157.0999999999999</v>
      </c>
      <c r="N87">
        <f>IF(L87=0,9999,RANK(L87,$L$2:$L$108,0)+COUNTIF($L$2:L87,L87)-1)</f>
        <v>40</v>
      </c>
    </row>
    <row r="88" spans="11:14" ht="15" customHeight="1">
      <c r="K88" t="s">
        <v>344</v>
      </c>
      <c r="L88">
        <f>SUMIFS('Dados Tratados'!$I$2:$I$151,'Dados Tratados'!$T$2:$T$151,1,'Dados Tratados'!$G$2:$G$151,K88)</f>
        <v>3</v>
      </c>
      <c r="M88">
        <f>SUMIFS('Dados Tratados'!$L$2:$L$151,'Dados Tratados'!$T$2:$T$151,1,'Dados Tratados'!$G$2:$G$151,K88)</f>
        <v>1157.0999999999999</v>
      </c>
      <c r="N88">
        <f>IF(L88=0,9999,RANK(L88,$L$2:$L$108,0)+COUNTIF($L$2:L88,L88)-1)</f>
        <v>41</v>
      </c>
    </row>
    <row r="89" spans="11:14" ht="15" customHeight="1">
      <c r="K89" t="s">
        <v>119</v>
      </c>
      <c r="L89">
        <f>SUMIFS('Dados Tratados'!$I$2:$I$151,'Dados Tratados'!$T$2:$T$151,1,'Dados Tratados'!$G$2:$G$151,K89)</f>
        <v>0</v>
      </c>
      <c r="M89">
        <f>SUMIFS('Dados Tratados'!$L$2:$L$151,'Dados Tratados'!$T$2:$T$151,1,'Dados Tratados'!$G$2:$G$151,K89)</f>
        <v>0</v>
      </c>
      <c r="N89">
        <f>IF(L89=0,9999,RANK(L89,$L$2:$L$108,0)+COUNTIF($L$2:L89,L89)-1)</f>
        <v>9999</v>
      </c>
    </row>
    <row r="90" spans="11:14" ht="15" customHeight="1">
      <c r="K90" t="s">
        <v>116</v>
      </c>
      <c r="L90">
        <f>SUMIFS('Dados Tratados'!$I$2:$I$151,'Dados Tratados'!$T$2:$T$151,1,'Dados Tratados'!$G$2:$G$151,K90)</f>
        <v>1</v>
      </c>
      <c r="M90">
        <f>SUMIFS('Dados Tratados'!$L$2:$L$151,'Dados Tratados'!$T$2:$T$151,1,'Dados Tratados'!$G$2:$G$151,K90)</f>
        <v>699</v>
      </c>
      <c r="N90">
        <f>IF(L90=0,9999,RANK(L90,$L$2:$L$108,0)+COUNTIF($L$2:L90,L90)-1)</f>
        <v>95</v>
      </c>
    </row>
    <row r="91" spans="11:14" ht="15" customHeight="1">
      <c r="K91" t="s">
        <v>377</v>
      </c>
      <c r="L91">
        <f>SUMIFS('Dados Tratados'!$I$2:$I$151,'Dados Tratados'!$T$2:$T$151,1,'Dados Tratados'!$G$2:$G$151,K91)</f>
        <v>1</v>
      </c>
      <c r="M91">
        <f>SUMIFS('Dados Tratados'!$L$2:$L$151,'Dados Tratados'!$T$2:$T$151,1,'Dados Tratados'!$G$2:$G$151,K91)</f>
        <v>524.25</v>
      </c>
      <c r="N91">
        <f>IF(L91=0,9999,RANK(L91,$L$2:$L$108,0)+COUNTIF($L$2:L91,L91)-1)</f>
        <v>96</v>
      </c>
    </row>
    <row r="92" spans="11:14" ht="15" customHeight="1">
      <c r="K92" t="s">
        <v>380</v>
      </c>
      <c r="L92">
        <f>SUMIFS('Dados Tratados'!$I$2:$I$151,'Dados Tratados'!$T$2:$T$151,1,'Dados Tratados'!$G$2:$G$151,K92)</f>
        <v>1</v>
      </c>
      <c r="M92">
        <f>SUMIFS('Dados Tratados'!$L$2:$L$151,'Dados Tratados'!$T$2:$T$151,1,'Dados Tratados'!$G$2:$G$151,K92)</f>
        <v>524.25</v>
      </c>
      <c r="N92">
        <f>IF(L92=0,9999,RANK(L92,$L$2:$L$108,0)+COUNTIF($L$2:L92,L92)-1)</f>
        <v>97</v>
      </c>
    </row>
    <row r="93" spans="11:14" ht="15" customHeight="1">
      <c r="K93" t="s">
        <v>200</v>
      </c>
      <c r="L93">
        <f>SUMIFS('Dados Tratados'!$I$2:$I$151,'Dados Tratados'!$T$2:$T$151,1,'Dados Tratados'!$G$2:$G$151,K93)</f>
        <v>4</v>
      </c>
      <c r="M93">
        <f>SUMIFS('Dados Tratados'!$L$2:$L$151,'Dados Tratados'!$T$2:$T$151,1,'Dados Tratados'!$G$2:$G$151,K93)</f>
        <v>79.599999999999994</v>
      </c>
      <c r="N93">
        <f>IF(L93=0,9999,RANK(L93,$L$2:$L$108,0)+COUNTIF($L$2:L93,L93)-1)</f>
        <v>30</v>
      </c>
    </row>
    <row r="94" spans="11:14" ht="15" customHeight="1">
      <c r="K94" t="s">
        <v>18</v>
      </c>
      <c r="L94">
        <f>SUMIFS('Dados Tratados'!$I$2:$I$151,'Dados Tratados'!$T$2:$T$151,1,'Dados Tratados'!$G$2:$G$151,K94)</f>
        <v>4</v>
      </c>
      <c r="M94">
        <f>SUMIFS('Dados Tratados'!$L$2:$L$151,'Dados Tratados'!$T$2:$T$151,1,'Dados Tratados'!$G$2:$G$151,K94)</f>
        <v>277.5</v>
      </c>
      <c r="N94">
        <f>IF(L94=0,9999,RANK(L94,$L$2:$L$108,0)+COUNTIF($L$2:L94,L94)-1)</f>
        <v>31</v>
      </c>
    </row>
    <row r="95" spans="11:14" ht="15" customHeight="1">
      <c r="K95" t="s">
        <v>315</v>
      </c>
      <c r="L95">
        <f>SUMIFS('Dados Tratados'!$I$2:$I$151,'Dados Tratados'!$T$2:$T$151,1,'Dados Tratados'!$G$2:$G$151,K95)</f>
        <v>3</v>
      </c>
      <c r="M95">
        <f>SUMIFS('Dados Tratados'!$L$2:$L$151,'Dados Tratados'!$T$2:$T$151,1,'Dados Tratados'!$G$2:$G$151,K95)</f>
        <v>147</v>
      </c>
      <c r="N95">
        <f>IF(L95=0,9999,RANK(L95,$L$2:$L$108,0)+COUNTIF($L$2:L95,L95)-1)</f>
        <v>42</v>
      </c>
    </row>
    <row r="96" spans="11:14" ht="15" customHeight="1">
      <c r="K96" t="s">
        <v>313</v>
      </c>
      <c r="L96">
        <f>SUMIFS('Dados Tratados'!$I$2:$I$151,'Dados Tratados'!$T$2:$T$151,1,'Dados Tratados'!$G$2:$G$151,K96)</f>
        <v>3</v>
      </c>
      <c r="M96">
        <f>SUMIFS('Dados Tratados'!$L$2:$L$151,'Dados Tratados'!$T$2:$T$151,1,'Dados Tratados'!$G$2:$G$151,K96)</f>
        <v>147</v>
      </c>
      <c r="N96">
        <f>IF(L96=0,9999,RANK(L96,$L$2:$L$108,0)+COUNTIF($L$2:L96,L96)-1)</f>
        <v>43</v>
      </c>
    </row>
    <row r="97" spans="11:14" ht="15" customHeight="1">
      <c r="K97" t="s">
        <v>49</v>
      </c>
      <c r="L97">
        <f>SUMIFS('Dados Tratados'!$I$2:$I$151,'Dados Tratados'!$T$2:$T$151,1,'Dados Tratados'!$G$2:$G$151,K97)</f>
        <v>14</v>
      </c>
      <c r="M97">
        <f>SUMIFS('Dados Tratados'!$L$2:$L$151,'Dados Tratados'!$T$2:$T$151,1,'Dados Tratados'!$G$2:$G$151,K97)</f>
        <v>402.5</v>
      </c>
      <c r="N97">
        <f>IF(L97=0,9999,RANK(L97,$L$2:$L$108,0)+COUNTIF($L$2:L97,L97)-1)</f>
        <v>5</v>
      </c>
    </row>
    <row r="98" spans="11:14" ht="15" customHeight="1">
      <c r="K98" t="s">
        <v>274</v>
      </c>
      <c r="L98">
        <f>SUMIFS('Dados Tratados'!$I$2:$I$151,'Dados Tratados'!$T$2:$T$151,1,'Dados Tratados'!$G$2:$G$151,K98)</f>
        <v>1</v>
      </c>
      <c r="M98">
        <f>SUMIFS('Dados Tratados'!$L$2:$L$151,'Dados Tratados'!$T$2:$T$151,1,'Dados Tratados'!$G$2:$G$151,K98)</f>
        <v>110</v>
      </c>
      <c r="N98">
        <f>IF(L98=0,9999,RANK(L98,$L$2:$L$108,0)+COUNTIF($L$2:L98,L98)-1)</f>
        <v>98</v>
      </c>
    </row>
    <row r="99" spans="11:14" ht="15" customHeight="1">
      <c r="K99" t="s">
        <v>270</v>
      </c>
      <c r="L99">
        <f>SUMIFS('Dados Tratados'!$I$2:$I$151,'Dados Tratados'!$T$2:$T$151,1,'Dados Tratados'!$G$2:$G$151,K99)</f>
        <v>0</v>
      </c>
      <c r="M99">
        <f>SUMIFS('Dados Tratados'!$L$2:$L$151,'Dados Tratados'!$T$2:$T$151,1,'Dados Tratados'!$G$2:$G$151,K99)</f>
        <v>0</v>
      </c>
      <c r="N99">
        <f>IF(L99=0,9999,RANK(L99,$L$2:$L$108,0)+COUNTIF($L$2:L99,L99)-1)</f>
        <v>9999</v>
      </c>
    </row>
    <row r="100" spans="11:14" ht="15" customHeight="1">
      <c r="K100" t="s">
        <v>356</v>
      </c>
      <c r="L100">
        <f>SUMIFS('Dados Tratados'!$I$2:$I$151,'Dados Tratados'!$T$2:$T$151,1,'Dados Tratados'!$G$2:$G$151,K100)</f>
        <v>1</v>
      </c>
      <c r="M100">
        <f>SUMIFS('Dados Tratados'!$L$2:$L$151,'Dados Tratados'!$T$2:$T$151,1,'Dados Tratados'!$G$2:$G$151,K100)</f>
        <v>129</v>
      </c>
      <c r="N100">
        <f>IF(L100=0,9999,RANK(L100,$L$2:$L$108,0)+COUNTIF($L$2:L100,L100)-1)</f>
        <v>99</v>
      </c>
    </row>
    <row r="101" spans="11:14" ht="15" customHeight="1">
      <c r="K101" t="s">
        <v>354</v>
      </c>
      <c r="L101">
        <f>SUMIFS('Dados Tratados'!$I$2:$I$151,'Dados Tratados'!$T$2:$T$151,1,'Dados Tratados'!$G$2:$G$151,K101)</f>
        <v>1</v>
      </c>
      <c r="M101">
        <f>SUMIFS('Dados Tratados'!$L$2:$L$151,'Dados Tratados'!$T$2:$T$151,1,'Dados Tratados'!$G$2:$G$151,K101)</f>
        <v>129</v>
      </c>
      <c r="N101">
        <f>IF(L101=0,9999,RANK(L101,$L$2:$L$108,0)+COUNTIF($L$2:L101,L101)-1)</f>
        <v>100</v>
      </c>
    </row>
    <row r="102" spans="11:14" ht="15" customHeight="1">
      <c r="K102" t="s">
        <v>92</v>
      </c>
      <c r="L102">
        <f>SUMIFS('Dados Tratados'!$I$2:$I$151,'Dados Tratados'!$T$2:$T$151,1,'Dados Tratados'!$G$2:$G$151,K102)</f>
        <v>7</v>
      </c>
      <c r="M102">
        <f>SUMIFS('Dados Tratados'!$L$2:$L$151,'Dados Tratados'!$T$2:$T$151,1,'Dados Tratados'!$G$2:$G$151,K102)</f>
        <v>553</v>
      </c>
      <c r="N102">
        <f>IF(L102=0,9999,RANK(L102,$L$2:$L$108,0)+COUNTIF($L$2:L102,L102)-1)</f>
        <v>10</v>
      </c>
    </row>
    <row r="103" spans="11:14" ht="15" customHeight="1">
      <c r="K103" t="s">
        <v>341</v>
      </c>
      <c r="L103">
        <f>SUMIFS('Dados Tratados'!$I$2:$I$151,'Dados Tratados'!$T$2:$T$151,1,'Dados Tratados'!$G$2:$G$151,K103)</f>
        <v>5</v>
      </c>
      <c r="M103">
        <f>SUMIFS('Dados Tratados'!$L$2:$L$151,'Dados Tratados'!$T$2:$T$151,1,'Dados Tratados'!$G$2:$G$151,K103)</f>
        <v>295</v>
      </c>
      <c r="N103">
        <f>IF(L103=0,9999,RANK(L103,$L$2:$L$108,0)+COUNTIF($L$2:L103,L103)-1)</f>
        <v>21</v>
      </c>
    </row>
    <row r="104" spans="11:14" ht="15" customHeight="1">
      <c r="K104" t="s">
        <v>338</v>
      </c>
      <c r="L104">
        <f>SUMIFS('Dados Tratados'!$I$2:$I$151,'Dados Tratados'!$T$2:$T$151,1,'Dados Tratados'!$G$2:$G$151,K104)</f>
        <v>2</v>
      </c>
      <c r="M104">
        <f>SUMIFS('Dados Tratados'!$L$2:$L$151,'Dados Tratados'!$T$2:$T$151,1,'Dados Tratados'!$G$2:$G$151,K104)</f>
        <v>118</v>
      </c>
      <c r="N104">
        <f>IF(L104=0,9999,RANK(L104,$L$2:$L$108,0)+COUNTIF($L$2:L104,L104)-1)</f>
        <v>73</v>
      </c>
    </row>
    <row r="105" spans="11:14" ht="15" customHeight="1">
      <c r="K105" t="s">
        <v>90</v>
      </c>
      <c r="L105">
        <f>SUMIFS('Dados Tratados'!$I$2:$I$151,'Dados Tratados'!$T$2:$T$151,1,'Dados Tratados'!$G$2:$G$151,K105)</f>
        <v>7</v>
      </c>
      <c r="M105">
        <f>SUMIFS('Dados Tratados'!$L$2:$L$151,'Dados Tratados'!$T$2:$T$151,1,'Dados Tratados'!$G$2:$G$151,K105)</f>
        <v>553</v>
      </c>
      <c r="N105">
        <f>IF(L105=0,9999,RANK(L105,$L$2:$L$108,0)+COUNTIF($L$2:L105,L105)-1)</f>
        <v>11</v>
      </c>
    </row>
    <row r="106" spans="11:14" ht="15" customHeight="1">
      <c r="K106" t="s">
        <v>30</v>
      </c>
      <c r="L106">
        <f>SUMIFS('Dados Tratados'!$I$2:$I$151,'Dados Tratados'!$T$2:$T$151,1,'Dados Tratados'!$G$2:$G$151,K106)</f>
        <v>2</v>
      </c>
      <c r="M106">
        <f>SUMIFS('Dados Tratados'!$L$2:$L$151,'Dados Tratados'!$T$2:$T$151,1,'Dados Tratados'!$G$2:$G$151,K106)</f>
        <v>120</v>
      </c>
      <c r="N106">
        <f>IF(L106=0,9999,RANK(L106,$L$2:$L$108,0)+COUNTIF($L$2:L106,L106)-1)</f>
        <v>74</v>
      </c>
    </row>
    <row r="107" spans="11:14" ht="15" customHeight="1">
      <c r="K107" t="s">
        <v>287</v>
      </c>
      <c r="L107">
        <f>SUMIFS('Dados Tratados'!$I$2:$I$151,'Dados Tratados'!$T$2:$T$151,1,'Dados Tratados'!$G$2:$G$151,K107)</f>
        <v>1</v>
      </c>
      <c r="M107">
        <f>SUMIFS('Dados Tratados'!$L$2:$L$151,'Dados Tratados'!$T$2:$T$151,1,'Dados Tratados'!$G$2:$G$151,K107)</f>
        <v>189</v>
      </c>
      <c r="N107">
        <f>IF(L107=0,9999,RANK(L107,$L$2:$L$108,0)+COUNTIF($L$2:L107,L107)-1)</f>
        <v>101</v>
      </c>
    </row>
    <row r="108" spans="11:14" ht="15" customHeight="1">
      <c r="K108" t="s">
        <v>361</v>
      </c>
      <c r="L108">
        <f>SUMIFS('Dados Tratados'!$I$2:$I$151,'Dados Tratados'!$T$2:$T$151,1,'Dados Tratados'!$G$2:$G$151,K108)</f>
        <v>0</v>
      </c>
      <c r="M108">
        <f>SUMIFS('Dados Tratados'!$L$2:$L$151,'Dados Tratados'!$T$2:$T$151,1,'Dados Tratados'!$G$2:$G$151,K108)</f>
        <v>0</v>
      </c>
      <c r="N108">
        <f>IF(L108=0,9999,RANK(L108,$L$2:$L$108,0)+COUNTIF($L$2:L108,L108)-1)</f>
        <v>9999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C9490719BE4FB47B68B1F28388492BB" ma:contentTypeVersion="11" ma:contentTypeDescription="Criar um novo documento." ma:contentTypeScope="" ma:versionID="d209959d7b91bd18d6fc0712d5add481">
  <xsd:schema xmlns:xsd="http://www.w3.org/2001/XMLSchema" xmlns:xs="http://www.w3.org/2001/XMLSchema" xmlns:p="http://schemas.microsoft.com/office/2006/metadata/properties" xmlns:ns2="abfe852b-f101-470f-831e-ef420b67f5b4" xmlns:ns3="c4d75153-5936-4861-8f28-dafb721b2bc4" targetNamespace="http://schemas.microsoft.com/office/2006/metadata/properties" ma:root="true" ma:fieldsID="d4086d5fcf2f88425b27d96a19fe5992" ns2:_="" ns3:_="">
    <xsd:import namespace="abfe852b-f101-470f-831e-ef420b67f5b4"/>
    <xsd:import namespace="c4d75153-5936-4861-8f28-dafb721b2bc4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fe852b-f101-470f-831e-ef420b67f5b4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Etiquetas de Imagem" ma:readOnly="false" ma:fieldId="{5cf76f15-5ced-4ddc-b409-7134ff3c332f}" ma:taxonomyMulti="true" ma:sspId="5d430623-f2ef-48fe-9b76-6f4b063184e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d75153-5936-4861-8f28-dafb721b2bc4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463c70d5-1956-474a-a2e0-85ff1d9ff7e9}" ma:internalName="TaxCatchAll" ma:showField="CatchAllData" ma:web="c4d75153-5936-4861-8f28-dafb721b2b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bfe852b-f101-470f-831e-ef420b67f5b4">
      <Terms xmlns="http://schemas.microsoft.com/office/infopath/2007/PartnerControls"/>
    </lcf76f155ced4ddcb4097134ff3c332f>
    <TaxCatchAll xmlns="c4d75153-5936-4861-8f28-dafb721b2bc4" xsi:nil="true"/>
    <ReferenceId xmlns="abfe852b-f101-470f-831e-ef420b67f5b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6442948-3BCC-492D-807A-41F417E01577}"/>
</file>

<file path=customXml/itemProps2.xml><?xml version="1.0" encoding="utf-8"?>
<ds:datastoreItem xmlns:ds="http://schemas.openxmlformats.org/officeDocument/2006/customXml" ds:itemID="{F77CC057-FE9F-4148-8F36-B9DCEA4D4F2A}"/>
</file>

<file path=customXml/itemProps3.xml><?xml version="1.0" encoding="utf-8"?>
<ds:datastoreItem xmlns:ds="http://schemas.openxmlformats.org/officeDocument/2006/customXml" ds:itemID="{B515DFE9-1455-48D7-BA71-33D64E155D0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Inês</dc:creator>
  <cp:keywords/>
  <dc:description/>
  <cp:lastModifiedBy>Bruno Miguel Santos - FORMADOR LISBOA</cp:lastModifiedBy>
  <cp:revision/>
  <dcterms:created xsi:type="dcterms:W3CDTF">2026-09-11T11:25:55Z</dcterms:created>
  <dcterms:modified xsi:type="dcterms:W3CDTF">2026-10-04T12:06:37Z</dcterms:modified>
  <cp:category/>
  <cp:contentStatus/>
</cp:coreProperties>
</file>

<file path=docProps/core0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2026-07-24T11:27:14Z</dcterms:created>
  <dc:creator>Inês Ferreira</dc:creator>
  <dc:description/>
  <dc:language>en-US</dc:language>
  <cp:lastModifiedBy>Inês Ferreira</cp:lastModifiedBy>
  <dcterms:modified xsi:type="dcterms:W3CDTF">2026-09-09T11:36:34Z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0x0101008C9490719BE4FB47B68B1F28388492BB</vt:lpwstr>
  </property>
  <property fmtid="{D5CDD505-2E9C-101B-9397-08002B2CF9AE}" pid="3" name="MediaServiceImageTags">
    <vt:lpwstr/>
  </property>
</Properties>
</file>